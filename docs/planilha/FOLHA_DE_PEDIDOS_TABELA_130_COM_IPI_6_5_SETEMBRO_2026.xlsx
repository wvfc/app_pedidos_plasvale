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xr:revisionPtr revIDLastSave="0" documentId="8_{A2A2612A-ED1A-9344-A0D0-43F0F53D781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mportante" sheetId="1" state="hidden" r:id="rId1"/>
    <sheet name="FOLHA DE PEDIDO " sheetId="2" r:id="rId2"/>
    <sheet name="Tabela 130 " sheetId="3" r:id="rId3"/>
    <sheet name="BASE CONTÁBIL" sheetId="4" state="hidden" r:id="rId4"/>
  </sheets>
  <definedNames>
    <definedName name="_xlnm._FilterDatabase" localSheetId="1" hidden="1">'FOLHA DE PEDIDO '!$B$20:$P$328</definedName>
    <definedName name="_xlnm._FilterDatabase" localSheetId="2" hidden="1">'Tabela 130 '!$A$1:$T$509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8" i="2" l="1"/>
  <c r="O328" i="2"/>
  <c r="N328" i="2"/>
  <c r="M328" i="2"/>
  <c r="I328" i="2"/>
  <c r="J328" i="2"/>
  <c r="L328" i="2"/>
  <c r="K328" i="2"/>
  <c r="C328" i="2"/>
  <c r="G328" i="2"/>
  <c r="D328" i="2"/>
  <c r="P327" i="2"/>
  <c r="O327" i="2"/>
  <c r="N327" i="2"/>
  <c r="M327" i="2"/>
  <c r="I327" i="2"/>
  <c r="J327" i="2"/>
  <c r="L327" i="2"/>
  <c r="K327" i="2"/>
  <c r="C327" i="2"/>
  <c r="G327" i="2"/>
  <c r="D327" i="2"/>
  <c r="P326" i="2"/>
  <c r="O326" i="2"/>
  <c r="N326" i="2"/>
  <c r="M326" i="2"/>
  <c r="I326" i="2"/>
  <c r="J326" i="2"/>
  <c r="L326" i="2"/>
  <c r="K326" i="2"/>
  <c r="C326" i="2"/>
  <c r="G326" i="2"/>
  <c r="D326" i="2"/>
  <c r="P325" i="2"/>
  <c r="O325" i="2"/>
  <c r="N325" i="2"/>
  <c r="M325" i="2"/>
  <c r="I325" i="2"/>
  <c r="J325" i="2"/>
  <c r="L325" i="2"/>
  <c r="K325" i="2"/>
  <c r="C325" i="2"/>
  <c r="G325" i="2"/>
  <c r="D325" i="2"/>
  <c r="P324" i="2"/>
  <c r="O324" i="2"/>
  <c r="N324" i="2"/>
  <c r="M324" i="2"/>
  <c r="I324" i="2"/>
  <c r="J324" i="2"/>
  <c r="L324" i="2"/>
  <c r="K324" i="2"/>
  <c r="C324" i="2"/>
  <c r="G324" i="2"/>
  <c r="D324" i="2"/>
  <c r="P323" i="2"/>
  <c r="O323" i="2"/>
  <c r="N323" i="2"/>
  <c r="M323" i="2"/>
  <c r="I323" i="2"/>
  <c r="J323" i="2"/>
  <c r="L323" i="2"/>
  <c r="K323" i="2"/>
  <c r="C323" i="2"/>
  <c r="G323" i="2"/>
  <c r="D323" i="2"/>
  <c r="P322" i="2"/>
  <c r="O322" i="2"/>
  <c r="N322" i="2"/>
  <c r="M322" i="2"/>
  <c r="I322" i="2"/>
  <c r="J322" i="2"/>
  <c r="L322" i="2"/>
  <c r="K322" i="2"/>
  <c r="C322" i="2"/>
  <c r="G322" i="2"/>
  <c r="D322" i="2"/>
  <c r="P321" i="2"/>
  <c r="O321" i="2"/>
  <c r="N321" i="2"/>
  <c r="M321" i="2"/>
  <c r="I321" i="2"/>
  <c r="J321" i="2"/>
  <c r="L321" i="2"/>
  <c r="K321" i="2"/>
  <c r="C321" i="2"/>
  <c r="G321" i="2"/>
  <c r="D321" i="2"/>
  <c r="P320" i="2"/>
  <c r="O320" i="2"/>
  <c r="N320" i="2"/>
  <c r="M320" i="2"/>
  <c r="I320" i="2"/>
  <c r="J320" i="2"/>
  <c r="L320" i="2"/>
  <c r="K320" i="2"/>
  <c r="C320" i="2"/>
  <c r="G320" i="2"/>
  <c r="D320" i="2"/>
  <c r="P319" i="2"/>
  <c r="O319" i="2"/>
  <c r="N319" i="2"/>
  <c r="M319" i="2"/>
  <c r="I319" i="2"/>
  <c r="J319" i="2"/>
  <c r="L319" i="2"/>
  <c r="K319" i="2"/>
  <c r="C319" i="2"/>
  <c r="G319" i="2"/>
  <c r="D319" i="2"/>
  <c r="P318" i="2"/>
  <c r="O318" i="2"/>
  <c r="N318" i="2"/>
  <c r="M318" i="2"/>
  <c r="I318" i="2"/>
  <c r="J318" i="2"/>
  <c r="L318" i="2"/>
  <c r="K318" i="2"/>
  <c r="C318" i="2"/>
  <c r="G318" i="2"/>
  <c r="D318" i="2"/>
  <c r="P317" i="2"/>
  <c r="O317" i="2"/>
  <c r="N317" i="2"/>
  <c r="M317" i="2"/>
  <c r="I317" i="2"/>
  <c r="J317" i="2"/>
  <c r="L317" i="2"/>
  <c r="K317" i="2"/>
  <c r="C317" i="2"/>
  <c r="G317" i="2"/>
  <c r="D317" i="2"/>
  <c r="P316" i="2"/>
  <c r="O316" i="2"/>
  <c r="N316" i="2"/>
  <c r="M316" i="2"/>
  <c r="I316" i="2"/>
  <c r="J316" i="2"/>
  <c r="L316" i="2"/>
  <c r="K316" i="2"/>
  <c r="C316" i="2"/>
  <c r="G316" i="2"/>
  <c r="D316" i="2"/>
  <c r="P315" i="2"/>
  <c r="O315" i="2"/>
  <c r="N315" i="2"/>
  <c r="M315" i="2"/>
  <c r="I315" i="2"/>
  <c r="J315" i="2"/>
  <c r="L315" i="2"/>
  <c r="K315" i="2"/>
  <c r="C315" i="2"/>
  <c r="G315" i="2"/>
  <c r="D315" i="2"/>
  <c r="P314" i="2"/>
  <c r="O314" i="2"/>
  <c r="N314" i="2"/>
  <c r="M314" i="2"/>
  <c r="I314" i="2"/>
  <c r="J314" i="2"/>
  <c r="L314" i="2"/>
  <c r="K314" i="2"/>
  <c r="C314" i="2"/>
  <c r="G314" i="2"/>
  <c r="D314" i="2"/>
  <c r="P313" i="2"/>
  <c r="O313" i="2"/>
  <c r="N313" i="2"/>
  <c r="M313" i="2"/>
  <c r="I313" i="2"/>
  <c r="J313" i="2"/>
  <c r="L313" i="2"/>
  <c r="K313" i="2"/>
  <c r="C313" i="2"/>
  <c r="G313" i="2"/>
  <c r="D313" i="2"/>
  <c r="P312" i="2"/>
  <c r="O312" i="2"/>
  <c r="N312" i="2"/>
  <c r="M312" i="2"/>
  <c r="I312" i="2"/>
  <c r="J312" i="2"/>
  <c r="L312" i="2"/>
  <c r="K312" i="2"/>
  <c r="C312" i="2"/>
  <c r="G312" i="2"/>
  <c r="D312" i="2"/>
  <c r="P311" i="2"/>
  <c r="O311" i="2"/>
  <c r="N311" i="2"/>
  <c r="M311" i="2"/>
  <c r="I311" i="2"/>
  <c r="J311" i="2"/>
  <c r="L311" i="2"/>
  <c r="K311" i="2"/>
  <c r="C311" i="2"/>
  <c r="G311" i="2"/>
  <c r="D311" i="2"/>
  <c r="P310" i="2"/>
  <c r="O310" i="2"/>
  <c r="N310" i="2"/>
  <c r="M310" i="2"/>
  <c r="I310" i="2"/>
  <c r="J310" i="2"/>
  <c r="L310" i="2"/>
  <c r="K310" i="2"/>
  <c r="C310" i="2"/>
  <c r="G310" i="2"/>
  <c r="D310" i="2"/>
  <c r="P309" i="2"/>
  <c r="O309" i="2"/>
  <c r="N309" i="2"/>
  <c r="M309" i="2"/>
  <c r="I309" i="2"/>
  <c r="J309" i="2"/>
  <c r="L309" i="2"/>
  <c r="K309" i="2"/>
  <c r="C309" i="2"/>
  <c r="G309" i="2"/>
  <c r="D309" i="2"/>
  <c r="P308" i="2"/>
  <c r="O308" i="2"/>
  <c r="N308" i="2"/>
  <c r="M308" i="2"/>
  <c r="I308" i="2"/>
  <c r="J308" i="2"/>
  <c r="L308" i="2"/>
  <c r="K308" i="2"/>
  <c r="C308" i="2"/>
  <c r="G308" i="2"/>
  <c r="D308" i="2"/>
  <c r="P307" i="2"/>
  <c r="O307" i="2"/>
  <c r="N307" i="2"/>
  <c r="M307" i="2"/>
  <c r="I307" i="2"/>
  <c r="J307" i="2"/>
  <c r="L307" i="2"/>
  <c r="K307" i="2"/>
  <c r="C307" i="2"/>
  <c r="G307" i="2"/>
  <c r="D307" i="2"/>
  <c r="P306" i="2"/>
  <c r="O306" i="2"/>
  <c r="N306" i="2"/>
  <c r="M306" i="2"/>
  <c r="I306" i="2"/>
  <c r="J306" i="2"/>
  <c r="L306" i="2"/>
  <c r="K306" i="2"/>
  <c r="C306" i="2"/>
  <c r="G306" i="2"/>
  <c r="D306" i="2"/>
  <c r="P305" i="2"/>
  <c r="O305" i="2"/>
  <c r="N305" i="2"/>
  <c r="M305" i="2"/>
  <c r="I305" i="2"/>
  <c r="J305" i="2"/>
  <c r="L305" i="2"/>
  <c r="K305" i="2"/>
  <c r="C305" i="2"/>
  <c r="G305" i="2"/>
  <c r="D305" i="2"/>
  <c r="P304" i="2"/>
  <c r="O304" i="2"/>
  <c r="N304" i="2"/>
  <c r="M304" i="2"/>
  <c r="I304" i="2"/>
  <c r="J304" i="2"/>
  <c r="L304" i="2"/>
  <c r="K304" i="2"/>
  <c r="C304" i="2"/>
  <c r="G304" i="2"/>
  <c r="D304" i="2"/>
  <c r="P303" i="2"/>
  <c r="O303" i="2"/>
  <c r="N303" i="2"/>
  <c r="M303" i="2"/>
  <c r="I303" i="2"/>
  <c r="J303" i="2"/>
  <c r="L303" i="2"/>
  <c r="K303" i="2"/>
  <c r="C303" i="2"/>
  <c r="G303" i="2"/>
  <c r="D303" i="2"/>
  <c r="P302" i="2"/>
  <c r="O302" i="2"/>
  <c r="N302" i="2"/>
  <c r="M302" i="2"/>
  <c r="I302" i="2"/>
  <c r="J302" i="2"/>
  <c r="L302" i="2"/>
  <c r="K302" i="2"/>
  <c r="C302" i="2"/>
  <c r="G302" i="2"/>
  <c r="D302" i="2"/>
  <c r="P301" i="2"/>
  <c r="O301" i="2"/>
  <c r="N301" i="2"/>
  <c r="M301" i="2"/>
  <c r="I301" i="2"/>
  <c r="J301" i="2"/>
  <c r="L301" i="2"/>
  <c r="K301" i="2"/>
  <c r="C301" i="2"/>
  <c r="G301" i="2"/>
  <c r="D301" i="2"/>
  <c r="P300" i="2"/>
  <c r="O300" i="2"/>
  <c r="N300" i="2"/>
  <c r="M300" i="2"/>
  <c r="I300" i="2"/>
  <c r="J300" i="2"/>
  <c r="L300" i="2"/>
  <c r="K300" i="2"/>
  <c r="C300" i="2"/>
  <c r="G300" i="2"/>
  <c r="D300" i="2"/>
  <c r="P299" i="2"/>
  <c r="O299" i="2"/>
  <c r="N299" i="2"/>
  <c r="M299" i="2"/>
  <c r="I299" i="2"/>
  <c r="J299" i="2"/>
  <c r="L299" i="2"/>
  <c r="K299" i="2"/>
  <c r="C299" i="2"/>
  <c r="G299" i="2"/>
  <c r="D299" i="2"/>
  <c r="P298" i="2"/>
  <c r="O298" i="2"/>
  <c r="N298" i="2"/>
  <c r="M298" i="2"/>
  <c r="I298" i="2"/>
  <c r="J298" i="2"/>
  <c r="L298" i="2"/>
  <c r="K298" i="2"/>
  <c r="C298" i="2"/>
  <c r="G298" i="2"/>
  <c r="D298" i="2"/>
  <c r="P297" i="2"/>
  <c r="O297" i="2"/>
  <c r="N297" i="2"/>
  <c r="M297" i="2"/>
  <c r="I297" i="2"/>
  <c r="J297" i="2"/>
  <c r="L297" i="2"/>
  <c r="K297" i="2"/>
  <c r="C297" i="2"/>
  <c r="G297" i="2"/>
  <c r="D297" i="2"/>
  <c r="P296" i="2"/>
  <c r="O296" i="2"/>
  <c r="N296" i="2"/>
  <c r="M296" i="2"/>
  <c r="I296" i="2"/>
  <c r="J296" i="2"/>
  <c r="L296" i="2"/>
  <c r="K296" i="2"/>
  <c r="C296" i="2"/>
  <c r="G296" i="2"/>
  <c r="D296" i="2"/>
  <c r="P295" i="2"/>
  <c r="O295" i="2"/>
  <c r="N295" i="2"/>
  <c r="M295" i="2"/>
  <c r="I295" i="2"/>
  <c r="J295" i="2"/>
  <c r="L295" i="2"/>
  <c r="K295" i="2"/>
  <c r="C295" i="2"/>
  <c r="G295" i="2"/>
  <c r="D295" i="2"/>
  <c r="P294" i="2"/>
  <c r="O294" i="2"/>
  <c r="N294" i="2"/>
  <c r="M294" i="2"/>
  <c r="I294" i="2"/>
  <c r="J294" i="2"/>
  <c r="L294" i="2"/>
  <c r="K294" i="2"/>
  <c r="C294" i="2"/>
  <c r="G294" i="2"/>
  <c r="D294" i="2"/>
  <c r="P293" i="2"/>
  <c r="O293" i="2"/>
  <c r="N293" i="2"/>
  <c r="M293" i="2"/>
  <c r="I293" i="2"/>
  <c r="J293" i="2"/>
  <c r="L293" i="2"/>
  <c r="K293" i="2"/>
  <c r="C293" i="2"/>
  <c r="G293" i="2"/>
  <c r="D293" i="2"/>
  <c r="P292" i="2"/>
  <c r="O292" i="2"/>
  <c r="N292" i="2"/>
  <c r="M292" i="2"/>
  <c r="I292" i="2"/>
  <c r="J292" i="2"/>
  <c r="L292" i="2"/>
  <c r="K292" i="2"/>
  <c r="C292" i="2"/>
  <c r="G292" i="2"/>
  <c r="D292" i="2"/>
  <c r="P291" i="2"/>
  <c r="O291" i="2"/>
  <c r="N291" i="2"/>
  <c r="M291" i="2"/>
  <c r="I291" i="2"/>
  <c r="J291" i="2"/>
  <c r="L291" i="2"/>
  <c r="K291" i="2"/>
  <c r="C291" i="2"/>
  <c r="G291" i="2"/>
  <c r="D291" i="2"/>
  <c r="P290" i="2"/>
  <c r="O290" i="2"/>
  <c r="N290" i="2"/>
  <c r="M290" i="2"/>
  <c r="I290" i="2"/>
  <c r="J290" i="2"/>
  <c r="L290" i="2"/>
  <c r="K290" i="2"/>
  <c r="C290" i="2"/>
  <c r="G290" i="2"/>
  <c r="D290" i="2"/>
  <c r="P289" i="2"/>
  <c r="O289" i="2"/>
  <c r="N289" i="2"/>
  <c r="M289" i="2"/>
  <c r="I289" i="2"/>
  <c r="J289" i="2"/>
  <c r="L289" i="2"/>
  <c r="K289" i="2"/>
  <c r="C289" i="2"/>
  <c r="G289" i="2"/>
  <c r="D289" i="2"/>
  <c r="P288" i="2"/>
  <c r="O288" i="2"/>
  <c r="N288" i="2"/>
  <c r="M288" i="2"/>
  <c r="I288" i="2"/>
  <c r="J288" i="2"/>
  <c r="L288" i="2"/>
  <c r="K288" i="2"/>
  <c r="C288" i="2"/>
  <c r="G288" i="2"/>
  <c r="D288" i="2"/>
  <c r="P287" i="2"/>
  <c r="O287" i="2"/>
  <c r="N287" i="2"/>
  <c r="M287" i="2"/>
  <c r="I287" i="2"/>
  <c r="J287" i="2"/>
  <c r="L287" i="2"/>
  <c r="K287" i="2"/>
  <c r="C287" i="2"/>
  <c r="G287" i="2"/>
  <c r="D287" i="2"/>
  <c r="P286" i="2"/>
  <c r="O286" i="2"/>
  <c r="N286" i="2"/>
  <c r="M286" i="2"/>
  <c r="I286" i="2"/>
  <c r="J286" i="2"/>
  <c r="L286" i="2"/>
  <c r="K286" i="2"/>
  <c r="C286" i="2"/>
  <c r="G286" i="2"/>
  <c r="D286" i="2"/>
  <c r="P285" i="2"/>
  <c r="O285" i="2"/>
  <c r="N285" i="2"/>
  <c r="M285" i="2"/>
  <c r="I285" i="2"/>
  <c r="J285" i="2"/>
  <c r="L285" i="2"/>
  <c r="K285" i="2"/>
  <c r="C285" i="2"/>
  <c r="G285" i="2"/>
  <c r="D285" i="2"/>
  <c r="P284" i="2"/>
  <c r="O284" i="2"/>
  <c r="N284" i="2"/>
  <c r="M284" i="2"/>
  <c r="I284" i="2"/>
  <c r="J284" i="2"/>
  <c r="L284" i="2"/>
  <c r="K284" i="2"/>
  <c r="C284" i="2"/>
  <c r="G284" i="2"/>
  <c r="D284" i="2"/>
  <c r="P283" i="2"/>
  <c r="O283" i="2"/>
  <c r="N283" i="2"/>
  <c r="M283" i="2"/>
  <c r="I283" i="2"/>
  <c r="J283" i="2"/>
  <c r="L283" i="2"/>
  <c r="K283" i="2"/>
  <c r="C283" i="2"/>
  <c r="G283" i="2"/>
  <c r="D283" i="2"/>
  <c r="P282" i="2"/>
  <c r="O282" i="2"/>
  <c r="N282" i="2"/>
  <c r="M282" i="2"/>
  <c r="I282" i="2"/>
  <c r="J282" i="2"/>
  <c r="L282" i="2"/>
  <c r="K282" i="2"/>
  <c r="C282" i="2"/>
  <c r="G282" i="2"/>
  <c r="D282" i="2"/>
  <c r="P281" i="2"/>
  <c r="O281" i="2"/>
  <c r="N281" i="2"/>
  <c r="M281" i="2"/>
  <c r="I281" i="2"/>
  <c r="J281" i="2"/>
  <c r="L281" i="2"/>
  <c r="K281" i="2"/>
  <c r="C281" i="2"/>
  <c r="G281" i="2"/>
  <c r="D281" i="2"/>
  <c r="P280" i="2"/>
  <c r="O280" i="2"/>
  <c r="N280" i="2"/>
  <c r="M280" i="2"/>
  <c r="I280" i="2"/>
  <c r="J280" i="2"/>
  <c r="L280" i="2"/>
  <c r="K280" i="2"/>
  <c r="C280" i="2"/>
  <c r="G280" i="2"/>
  <c r="D280" i="2"/>
  <c r="P279" i="2"/>
  <c r="O279" i="2"/>
  <c r="N279" i="2"/>
  <c r="M279" i="2"/>
  <c r="I279" i="2"/>
  <c r="J279" i="2"/>
  <c r="L279" i="2"/>
  <c r="K279" i="2"/>
  <c r="C279" i="2"/>
  <c r="G279" i="2"/>
  <c r="D279" i="2"/>
  <c r="P278" i="2"/>
  <c r="O278" i="2"/>
  <c r="N278" i="2"/>
  <c r="M278" i="2"/>
  <c r="I278" i="2"/>
  <c r="J278" i="2"/>
  <c r="L278" i="2"/>
  <c r="K278" i="2"/>
  <c r="C278" i="2"/>
  <c r="G278" i="2"/>
  <c r="D278" i="2"/>
  <c r="P277" i="2"/>
  <c r="O277" i="2"/>
  <c r="N277" i="2"/>
  <c r="M277" i="2"/>
  <c r="I277" i="2"/>
  <c r="J277" i="2"/>
  <c r="L277" i="2"/>
  <c r="K277" i="2"/>
  <c r="C277" i="2"/>
  <c r="G277" i="2"/>
  <c r="D277" i="2"/>
  <c r="P276" i="2"/>
  <c r="O276" i="2"/>
  <c r="N276" i="2"/>
  <c r="M276" i="2"/>
  <c r="I276" i="2"/>
  <c r="J276" i="2"/>
  <c r="L276" i="2"/>
  <c r="K276" i="2"/>
  <c r="C276" i="2"/>
  <c r="G276" i="2"/>
  <c r="D276" i="2"/>
  <c r="P275" i="2"/>
  <c r="O275" i="2"/>
  <c r="N275" i="2"/>
  <c r="M275" i="2"/>
  <c r="I275" i="2"/>
  <c r="J275" i="2"/>
  <c r="L275" i="2"/>
  <c r="K275" i="2"/>
  <c r="C275" i="2"/>
  <c r="G275" i="2"/>
  <c r="D275" i="2"/>
  <c r="P274" i="2"/>
  <c r="O274" i="2"/>
  <c r="N274" i="2"/>
  <c r="M274" i="2"/>
  <c r="I274" i="2"/>
  <c r="J274" i="2"/>
  <c r="L274" i="2"/>
  <c r="K274" i="2"/>
  <c r="C274" i="2"/>
  <c r="G274" i="2"/>
  <c r="D274" i="2"/>
  <c r="P273" i="2"/>
  <c r="O273" i="2"/>
  <c r="N273" i="2"/>
  <c r="M273" i="2"/>
  <c r="I273" i="2"/>
  <c r="J273" i="2"/>
  <c r="L273" i="2"/>
  <c r="K273" i="2"/>
  <c r="C273" i="2"/>
  <c r="G273" i="2"/>
  <c r="D273" i="2"/>
  <c r="P272" i="2"/>
  <c r="O272" i="2"/>
  <c r="N272" i="2"/>
  <c r="M272" i="2"/>
  <c r="I272" i="2"/>
  <c r="J272" i="2"/>
  <c r="L272" i="2"/>
  <c r="K272" i="2"/>
  <c r="C272" i="2"/>
  <c r="G272" i="2"/>
  <c r="D272" i="2"/>
  <c r="P271" i="2"/>
  <c r="O271" i="2"/>
  <c r="N271" i="2"/>
  <c r="M271" i="2"/>
  <c r="I271" i="2"/>
  <c r="J271" i="2"/>
  <c r="L271" i="2"/>
  <c r="K271" i="2"/>
  <c r="C271" i="2"/>
  <c r="G271" i="2"/>
  <c r="D271" i="2"/>
  <c r="P270" i="2"/>
  <c r="O270" i="2"/>
  <c r="N270" i="2"/>
  <c r="M270" i="2"/>
  <c r="I270" i="2"/>
  <c r="J270" i="2"/>
  <c r="L270" i="2"/>
  <c r="K270" i="2"/>
  <c r="C270" i="2"/>
  <c r="G270" i="2"/>
  <c r="D270" i="2"/>
  <c r="P269" i="2"/>
  <c r="O269" i="2"/>
  <c r="N269" i="2"/>
  <c r="M269" i="2"/>
  <c r="I269" i="2"/>
  <c r="J269" i="2"/>
  <c r="L269" i="2"/>
  <c r="K269" i="2"/>
  <c r="C269" i="2"/>
  <c r="G269" i="2"/>
  <c r="D269" i="2"/>
  <c r="P268" i="2"/>
  <c r="O268" i="2"/>
  <c r="N268" i="2"/>
  <c r="M268" i="2"/>
  <c r="I268" i="2"/>
  <c r="J268" i="2"/>
  <c r="L268" i="2"/>
  <c r="K268" i="2"/>
  <c r="C268" i="2"/>
  <c r="G268" i="2"/>
  <c r="D268" i="2"/>
  <c r="P267" i="2"/>
  <c r="O267" i="2"/>
  <c r="N267" i="2"/>
  <c r="M267" i="2"/>
  <c r="I267" i="2"/>
  <c r="J267" i="2"/>
  <c r="L267" i="2"/>
  <c r="K267" i="2"/>
  <c r="C267" i="2"/>
  <c r="G267" i="2"/>
  <c r="D267" i="2"/>
  <c r="P266" i="2"/>
  <c r="O266" i="2"/>
  <c r="N266" i="2"/>
  <c r="M266" i="2"/>
  <c r="I266" i="2"/>
  <c r="J266" i="2"/>
  <c r="L266" i="2"/>
  <c r="K266" i="2"/>
  <c r="C266" i="2"/>
  <c r="G266" i="2"/>
  <c r="D266" i="2"/>
  <c r="P265" i="2"/>
  <c r="O265" i="2"/>
  <c r="N265" i="2"/>
  <c r="M265" i="2"/>
  <c r="I265" i="2"/>
  <c r="J265" i="2"/>
  <c r="L265" i="2"/>
  <c r="K265" i="2"/>
  <c r="C265" i="2"/>
  <c r="G265" i="2"/>
  <c r="D265" i="2"/>
  <c r="P264" i="2"/>
  <c r="O264" i="2"/>
  <c r="N264" i="2"/>
  <c r="M264" i="2"/>
  <c r="I264" i="2"/>
  <c r="J264" i="2"/>
  <c r="L264" i="2"/>
  <c r="K264" i="2"/>
  <c r="C264" i="2"/>
  <c r="G264" i="2"/>
  <c r="D264" i="2"/>
  <c r="P263" i="2"/>
  <c r="O263" i="2"/>
  <c r="N263" i="2"/>
  <c r="M263" i="2"/>
  <c r="I263" i="2"/>
  <c r="J263" i="2"/>
  <c r="L263" i="2"/>
  <c r="K263" i="2"/>
  <c r="C263" i="2"/>
  <c r="G263" i="2"/>
  <c r="D263" i="2"/>
  <c r="P262" i="2"/>
  <c r="O262" i="2"/>
  <c r="N262" i="2"/>
  <c r="M262" i="2"/>
  <c r="I262" i="2"/>
  <c r="J262" i="2"/>
  <c r="L262" i="2"/>
  <c r="K262" i="2"/>
  <c r="C262" i="2"/>
  <c r="G262" i="2"/>
  <c r="D262" i="2"/>
  <c r="P261" i="2"/>
  <c r="O261" i="2"/>
  <c r="N261" i="2"/>
  <c r="M261" i="2"/>
  <c r="I261" i="2"/>
  <c r="J261" i="2"/>
  <c r="L261" i="2"/>
  <c r="K261" i="2"/>
  <c r="C261" i="2"/>
  <c r="G261" i="2"/>
  <c r="D261" i="2"/>
  <c r="P260" i="2"/>
  <c r="O260" i="2"/>
  <c r="N260" i="2"/>
  <c r="M260" i="2"/>
  <c r="I260" i="2"/>
  <c r="J260" i="2"/>
  <c r="L260" i="2"/>
  <c r="K260" i="2"/>
  <c r="C260" i="2"/>
  <c r="G260" i="2"/>
  <c r="D260" i="2"/>
  <c r="P259" i="2"/>
  <c r="O259" i="2"/>
  <c r="N259" i="2"/>
  <c r="M259" i="2"/>
  <c r="I259" i="2"/>
  <c r="J259" i="2"/>
  <c r="L259" i="2"/>
  <c r="K259" i="2"/>
  <c r="C259" i="2"/>
  <c r="G259" i="2"/>
  <c r="D259" i="2"/>
  <c r="P258" i="2"/>
  <c r="O258" i="2"/>
  <c r="N258" i="2"/>
  <c r="M258" i="2"/>
  <c r="I258" i="2"/>
  <c r="J258" i="2"/>
  <c r="L258" i="2"/>
  <c r="K258" i="2"/>
  <c r="C258" i="2"/>
  <c r="G258" i="2"/>
  <c r="D258" i="2"/>
  <c r="P257" i="2"/>
  <c r="O257" i="2"/>
  <c r="N257" i="2"/>
  <c r="M257" i="2"/>
  <c r="I257" i="2"/>
  <c r="J257" i="2"/>
  <c r="L257" i="2"/>
  <c r="K257" i="2"/>
  <c r="C257" i="2"/>
  <c r="G257" i="2"/>
  <c r="D257" i="2"/>
  <c r="P256" i="2"/>
  <c r="O256" i="2"/>
  <c r="N256" i="2"/>
  <c r="M256" i="2"/>
  <c r="I256" i="2"/>
  <c r="J256" i="2"/>
  <c r="L256" i="2"/>
  <c r="K256" i="2"/>
  <c r="C256" i="2"/>
  <c r="G256" i="2"/>
  <c r="D256" i="2"/>
  <c r="P255" i="2"/>
  <c r="O255" i="2"/>
  <c r="N255" i="2"/>
  <c r="M255" i="2"/>
  <c r="I255" i="2"/>
  <c r="J255" i="2"/>
  <c r="L255" i="2"/>
  <c r="K255" i="2"/>
  <c r="C255" i="2"/>
  <c r="G255" i="2"/>
  <c r="D255" i="2"/>
  <c r="P254" i="2"/>
  <c r="O254" i="2"/>
  <c r="N254" i="2"/>
  <c r="M254" i="2"/>
  <c r="I254" i="2"/>
  <c r="J254" i="2"/>
  <c r="L254" i="2"/>
  <c r="K254" i="2"/>
  <c r="C254" i="2"/>
  <c r="G254" i="2"/>
  <c r="D254" i="2"/>
  <c r="P253" i="2"/>
  <c r="O253" i="2"/>
  <c r="N253" i="2"/>
  <c r="M253" i="2"/>
  <c r="I253" i="2"/>
  <c r="J253" i="2"/>
  <c r="L253" i="2"/>
  <c r="K253" i="2"/>
  <c r="C253" i="2"/>
  <c r="G253" i="2"/>
  <c r="D253" i="2"/>
  <c r="P252" i="2"/>
  <c r="O252" i="2"/>
  <c r="N252" i="2"/>
  <c r="M252" i="2"/>
  <c r="I252" i="2"/>
  <c r="J252" i="2"/>
  <c r="L252" i="2"/>
  <c r="K252" i="2"/>
  <c r="C252" i="2"/>
  <c r="G252" i="2"/>
  <c r="D252" i="2"/>
  <c r="P251" i="2"/>
  <c r="O251" i="2"/>
  <c r="N251" i="2"/>
  <c r="M251" i="2"/>
  <c r="I251" i="2"/>
  <c r="J251" i="2"/>
  <c r="L251" i="2"/>
  <c r="K251" i="2"/>
  <c r="C251" i="2"/>
  <c r="G251" i="2"/>
  <c r="D251" i="2"/>
  <c r="P250" i="2"/>
  <c r="O250" i="2"/>
  <c r="N250" i="2"/>
  <c r="M250" i="2"/>
  <c r="I250" i="2"/>
  <c r="J250" i="2"/>
  <c r="L250" i="2"/>
  <c r="K250" i="2"/>
  <c r="C250" i="2"/>
  <c r="G250" i="2"/>
  <c r="D250" i="2"/>
  <c r="P249" i="2"/>
  <c r="O249" i="2"/>
  <c r="N249" i="2"/>
  <c r="M249" i="2"/>
  <c r="I249" i="2"/>
  <c r="J249" i="2"/>
  <c r="L249" i="2"/>
  <c r="K249" i="2"/>
  <c r="C249" i="2"/>
  <c r="G249" i="2"/>
  <c r="D249" i="2"/>
  <c r="P248" i="2"/>
  <c r="O248" i="2"/>
  <c r="N248" i="2"/>
  <c r="M248" i="2"/>
  <c r="I248" i="2"/>
  <c r="J248" i="2"/>
  <c r="L248" i="2"/>
  <c r="K248" i="2"/>
  <c r="C248" i="2"/>
  <c r="G248" i="2"/>
  <c r="D248" i="2"/>
  <c r="P247" i="2"/>
  <c r="O247" i="2"/>
  <c r="N247" i="2"/>
  <c r="M247" i="2"/>
  <c r="I247" i="2"/>
  <c r="J247" i="2"/>
  <c r="L247" i="2"/>
  <c r="K247" i="2"/>
  <c r="C247" i="2"/>
  <c r="G247" i="2"/>
  <c r="D247" i="2"/>
  <c r="P246" i="2"/>
  <c r="O246" i="2"/>
  <c r="N246" i="2"/>
  <c r="M246" i="2"/>
  <c r="I246" i="2"/>
  <c r="J246" i="2"/>
  <c r="L246" i="2"/>
  <c r="K246" i="2"/>
  <c r="C246" i="2"/>
  <c r="G246" i="2"/>
  <c r="D246" i="2"/>
  <c r="P245" i="2"/>
  <c r="O245" i="2"/>
  <c r="N245" i="2"/>
  <c r="M245" i="2"/>
  <c r="I245" i="2"/>
  <c r="J245" i="2"/>
  <c r="L245" i="2"/>
  <c r="K245" i="2"/>
  <c r="C245" i="2"/>
  <c r="G245" i="2"/>
  <c r="D245" i="2"/>
  <c r="P244" i="2"/>
  <c r="O244" i="2"/>
  <c r="N244" i="2"/>
  <c r="M244" i="2"/>
  <c r="I244" i="2"/>
  <c r="J244" i="2"/>
  <c r="L244" i="2"/>
  <c r="K244" i="2"/>
  <c r="C244" i="2"/>
  <c r="G244" i="2"/>
  <c r="D244" i="2"/>
  <c r="P243" i="2"/>
  <c r="O243" i="2"/>
  <c r="N243" i="2"/>
  <c r="M243" i="2"/>
  <c r="I243" i="2"/>
  <c r="J243" i="2"/>
  <c r="L243" i="2"/>
  <c r="K243" i="2"/>
  <c r="C243" i="2"/>
  <c r="G243" i="2"/>
  <c r="D243" i="2"/>
  <c r="P242" i="2"/>
  <c r="O242" i="2"/>
  <c r="N242" i="2"/>
  <c r="M242" i="2"/>
  <c r="I242" i="2"/>
  <c r="J242" i="2"/>
  <c r="L242" i="2"/>
  <c r="K242" i="2"/>
  <c r="C242" i="2"/>
  <c r="G242" i="2"/>
  <c r="D242" i="2"/>
  <c r="P241" i="2"/>
  <c r="O241" i="2"/>
  <c r="N241" i="2"/>
  <c r="M241" i="2"/>
  <c r="I241" i="2"/>
  <c r="J241" i="2"/>
  <c r="L241" i="2"/>
  <c r="K241" i="2"/>
  <c r="C241" i="2"/>
  <c r="G241" i="2"/>
  <c r="D241" i="2"/>
  <c r="P240" i="2"/>
  <c r="O240" i="2"/>
  <c r="N240" i="2"/>
  <c r="M240" i="2"/>
  <c r="I240" i="2"/>
  <c r="J240" i="2"/>
  <c r="L240" i="2"/>
  <c r="K240" i="2"/>
  <c r="C240" i="2"/>
  <c r="G240" i="2"/>
  <c r="D240" i="2"/>
  <c r="P239" i="2"/>
  <c r="O239" i="2"/>
  <c r="N239" i="2"/>
  <c r="M239" i="2"/>
  <c r="I239" i="2"/>
  <c r="J239" i="2"/>
  <c r="L239" i="2"/>
  <c r="K239" i="2"/>
  <c r="C239" i="2"/>
  <c r="G239" i="2"/>
  <c r="D239" i="2"/>
  <c r="P238" i="2"/>
  <c r="O238" i="2"/>
  <c r="N238" i="2"/>
  <c r="M238" i="2"/>
  <c r="I238" i="2"/>
  <c r="J238" i="2"/>
  <c r="L238" i="2"/>
  <c r="K238" i="2"/>
  <c r="C238" i="2"/>
  <c r="G238" i="2"/>
  <c r="D238" i="2"/>
  <c r="P237" i="2"/>
  <c r="O237" i="2"/>
  <c r="N237" i="2"/>
  <c r="M237" i="2"/>
  <c r="I237" i="2"/>
  <c r="J237" i="2"/>
  <c r="L237" i="2"/>
  <c r="K237" i="2"/>
  <c r="C237" i="2"/>
  <c r="G237" i="2"/>
  <c r="D237" i="2"/>
  <c r="P236" i="2"/>
  <c r="O236" i="2"/>
  <c r="N236" i="2"/>
  <c r="M236" i="2"/>
  <c r="I236" i="2"/>
  <c r="J236" i="2"/>
  <c r="L236" i="2"/>
  <c r="K236" i="2"/>
  <c r="C236" i="2"/>
  <c r="G236" i="2"/>
  <c r="D236" i="2"/>
  <c r="P235" i="2"/>
  <c r="O235" i="2"/>
  <c r="N235" i="2"/>
  <c r="M235" i="2"/>
  <c r="I235" i="2"/>
  <c r="J235" i="2"/>
  <c r="L235" i="2"/>
  <c r="K235" i="2"/>
  <c r="C235" i="2"/>
  <c r="G235" i="2"/>
  <c r="D235" i="2"/>
  <c r="P234" i="2"/>
  <c r="O234" i="2"/>
  <c r="N234" i="2"/>
  <c r="M234" i="2"/>
  <c r="I234" i="2"/>
  <c r="J234" i="2"/>
  <c r="L234" i="2"/>
  <c r="K234" i="2"/>
  <c r="C234" i="2"/>
  <c r="G234" i="2"/>
  <c r="D234" i="2"/>
  <c r="P233" i="2"/>
  <c r="O233" i="2"/>
  <c r="N233" i="2"/>
  <c r="M233" i="2"/>
  <c r="I233" i="2"/>
  <c r="J233" i="2"/>
  <c r="L233" i="2"/>
  <c r="K233" i="2"/>
  <c r="C233" i="2"/>
  <c r="G233" i="2"/>
  <c r="D233" i="2"/>
  <c r="P232" i="2"/>
  <c r="O232" i="2"/>
  <c r="N232" i="2"/>
  <c r="M232" i="2"/>
  <c r="I232" i="2"/>
  <c r="J232" i="2"/>
  <c r="L232" i="2"/>
  <c r="K232" i="2"/>
  <c r="C232" i="2"/>
  <c r="G232" i="2"/>
  <c r="D232" i="2"/>
  <c r="P231" i="2"/>
  <c r="O231" i="2"/>
  <c r="N231" i="2"/>
  <c r="M231" i="2"/>
  <c r="I231" i="2"/>
  <c r="J231" i="2"/>
  <c r="L231" i="2"/>
  <c r="K231" i="2"/>
  <c r="C231" i="2"/>
  <c r="G231" i="2"/>
  <c r="D231" i="2"/>
  <c r="P230" i="2"/>
  <c r="O230" i="2"/>
  <c r="N230" i="2"/>
  <c r="M230" i="2"/>
  <c r="I230" i="2"/>
  <c r="J230" i="2"/>
  <c r="L230" i="2"/>
  <c r="K230" i="2"/>
  <c r="C230" i="2"/>
  <c r="G230" i="2"/>
  <c r="D230" i="2"/>
  <c r="P229" i="2"/>
  <c r="O229" i="2"/>
  <c r="N229" i="2"/>
  <c r="M229" i="2"/>
  <c r="I229" i="2"/>
  <c r="J229" i="2"/>
  <c r="L229" i="2"/>
  <c r="K229" i="2"/>
  <c r="C229" i="2"/>
  <c r="G229" i="2"/>
  <c r="D229" i="2"/>
  <c r="P228" i="2"/>
  <c r="O228" i="2"/>
  <c r="N228" i="2"/>
  <c r="M228" i="2"/>
  <c r="I228" i="2"/>
  <c r="J228" i="2"/>
  <c r="L228" i="2"/>
  <c r="K228" i="2"/>
  <c r="C228" i="2"/>
  <c r="G228" i="2"/>
  <c r="D228" i="2"/>
  <c r="P227" i="2"/>
  <c r="O227" i="2"/>
  <c r="N227" i="2"/>
  <c r="M227" i="2"/>
  <c r="I227" i="2"/>
  <c r="J227" i="2"/>
  <c r="L227" i="2"/>
  <c r="K227" i="2"/>
  <c r="C227" i="2"/>
  <c r="G227" i="2"/>
  <c r="D227" i="2"/>
  <c r="P226" i="2"/>
  <c r="O226" i="2"/>
  <c r="N226" i="2"/>
  <c r="M226" i="2"/>
  <c r="I226" i="2"/>
  <c r="J226" i="2"/>
  <c r="L226" i="2"/>
  <c r="K226" i="2"/>
  <c r="C226" i="2"/>
  <c r="G226" i="2"/>
  <c r="D226" i="2"/>
  <c r="P225" i="2"/>
  <c r="O225" i="2"/>
  <c r="N225" i="2"/>
  <c r="M225" i="2"/>
  <c r="I225" i="2"/>
  <c r="J225" i="2"/>
  <c r="L225" i="2"/>
  <c r="K225" i="2"/>
  <c r="C225" i="2"/>
  <c r="G225" i="2"/>
  <c r="D225" i="2"/>
  <c r="P224" i="2"/>
  <c r="O224" i="2"/>
  <c r="N224" i="2"/>
  <c r="M224" i="2"/>
  <c r="I224" i="2"/>
  <c r="J224" i="2"/>
  <c r="L224" i="2"/>
  <c r="K224" i="2"/>
  <c r="C224" i="2"/>
  <c r="G224" i="2"/>
  <c r="D224" i="2"/>
  <c r="P223" i="2"/>
  <c r="O223" i="2"/>
  <c r="N223" i="2"/>
  <c r="M223" i="2"/>
  <c r="I223" i="2"/>
  <c r="J223" i="2"/>
  <c r="L223" i="2"/>
  <c r="K223" i="2"/>
  <c r="C223" i="2"/>
  <c r="G223" i="2"/>
  <c r="D223" i="2"/>
  <c r="P222" i="2"/>
  <c r="O222" i="2"/>
  <c r="N222" i="2"/>
  <c r="M222" i="2"/>
  <c r="I222" i="2"/>
  <c r="J222" i="2"/>
  <c r="L222" i="2"/>
  <c r="K222" i="2"/>
  <c r="C222" i="2"/>
  <c r="G222" i="2"/>
  <c r="D222" i="2"/>
  <c r="P221" i="2"/>
  <c r="O221" i="2"/>
  <c r="N221" i="2"/>
  <c r="M221" i="2"/>
  <c r="I221" i="2"/>
  <c r="J221" i="2"/>
  <c r="L221" i="2"/>
  <c r="K221" i="2"/>
  <c r="C221" i="2"/>
  <c r="G221" i="2"/>
  <c r="D221" i="2"/>
  <c r="P220" i="2"/>
  <c r="O220" i="2"/>
  <c r="N220" i="2"/>
  <c r="M220" i="2"/>
  <c r="I220" i="2"/>
  <c r="J220" i="2"/>
  <c r="L220" i="2"/>
  <c r="K220" i="2"/>
  <c r="C220" i="2"/>
  <c r="G220" i="2"/>
  <c r="D220" i="2"/>
  <c r="P219" i="2"/>
  <c r="O219" i="2"/>
  <c r="N219" i="2"/>
  <c r="M219" i="2"/>
  <c r="I219" i="2"/>
  <c r="J219" i="2"/>
  <c r="L219" i="2"/>
  <c r="K219" i="2"/>
  <c r="C219" i="2"/>
  <c r="G219" i="2"/>
  <c r="D219" i="2"/>
  <c r="P218" i="2"/>
  <c r="O218" i="2"/>
  <c r="N218" i="2"/>
  <c r="M218" i="2"/>
  <c r="I218" i="2"/>
  <c r="J218" i="2"/>
  <c r="L218" i="2"/>
  <c r="K218" i="2"/>
  <c r="C218" i="2"/>
  <c r="G218" i="2"/>
  <c r="D218" i="2"/>
  <c r="P217" i="2"/>
  <c r="O217" i="2"/>
  <c r="N217" i="2"/>
  <c r="M217" i="2"/>
  <c r="I217" i="2"/>
  <c r="J217" i="2"/>
  <c r="L217" i="2"/>
  <c r="K217" i="2"/>
  <c r="C217" i="2"/>
  <c r="G217" i="2"/>
  <c r="D217" i="2"/>
  <c r="P216" i="2"/>
  <c r="O216" i="2"/>
  <c r="N216" i="2"/>
  <c r="M216" i="2"/>
  <c r="I216" i="2"/>
  <c r="J216" i="2"/>
  <c r="L216" i="2"/>
  <c r="K216" i="2"/>
  <c r="C216" i="2"/>
  <c r="G216" i="2"/>
  <c r="D216" i="2"/>
  <c r="P215" i="2"/>
  <c r="O215" i="2"/>
  <c r="N215" i="2"/>
  <c r="M215" i="2"/>
  <c r="I215" i="2"/>
  <c r="J215" i="2"/>
  <c r="L215" i="2"/>
  <c r="K215" i="2"/>
  <c r="C215" i="2"/>
  <c r="G215" i="2"/>
  <c r="D215" i="2"/>
  <c r="P214" i="2"/>
  <c r="O214" i="2"/>
  <c r="N214" i="2"/>
  <c r="M214" i="2"/>
  <c r="I214" i="2"/>
  <c r="J214" i="2"/>
  <c r="L214" i="2"/>
  <c r="K214" i="2"/>
  <c r="C214" i="2"/>
  <c r="G214" i="2"/>
  <c r="D214" i="2"/>
  <c r="P213" i="2"/>
  <c r="O213" i="2"/>
  <c r="N213" i="2"/>
  <c r="M213" i="2"/>
  <c r="I213" i="2"/>
  <c r="J213" i="2"/>
  <c r="L213" i="2"/>
  <c r="K213" i="2"/>
  <c r="C213" i="2"/>
  <c r="G213" i="2"/>
  <c r="D213" i="2"/>
  <c r="P212" i="2"/>
  <c r="O212" i="2"/>
  <c r="N212" i="2"/>
  <c r="M212" i="2"/>
  <c r="I212" i="2"/>
  <c r="J212" i="2"/>
  <c r="L212" i="2"/>
  <c r="K212" i="2"/>
  <c r="C212" i="2"/>
  <c r="G212" i="2"/>
  <c r="D212" i="2"/>
  <c r="P211" i="2"/>
  <c r="O211" i="2"/>
  <c r="N211" i="2"/>
  <c r="M211" i="2"/>
  <c r="I211" i="2"/>
  <c r="J211" i="2"/>
  <c r="L211" i="2"/>
  <c r="K211" i="2"/>
  <c r="C211" i="2"/>
  <c r="G211" i="2"/>
  <c r="D211" i="2"/>
  <c r="P210" i="2"/>
  <c r="O210" i="2"/>
  <c r="N210" i="2"/>
  <c r="M210" i="2"/>
  <c r="I210" i="2"/>
  <c r="J210" i="2"/>
  <c r="L210" i="2"/>
  <c r="K210" i="2"/>
  <c r="C210" i="2"/>
  <c r="G210" i="2"/>
  <c r="D210" i="2"/>
  <c r="P209" i="2"/>
  <c r="O209" i="2"/>
  <c r="N209" i="2"/>
  <c r="M209" i="2"/>
  <c r="I209" i="2"/>
  <c r="J209" i="2"/>
  <c r="L209" i="2"/>
  <c r="K209" i="2"/>
  <c r="C209" i="2"/>
  <c r="G209" i="2"/>
  <c r="D209" i="2"/>
  <c r="P208" i="2"/>
  <c r="O208" i="2"/>
  <c r="N208" i="2"/>
  <c r="M208" i="2"/>
  <c r="I208" i="2"/>
  <c r="J208" i="2"/>
  <c r="L208" i="2"/>
  <c r="K208" i="2"/>
  <c r="C208" i="2"/>
  <c r="G208" i="2"/>
  <c r="D208" i="2"/>
  <c r="P207" i="2"/>
  <c r="O207" i="2"/>
  <c r="N207" i="2"/>
  <c r="M207" i="2"/>
  <c r="I207" i="2"/>
  <c r="J207" i="2"/>
  <c r="L207" i="2"/>
  <c r="K207" i="2"/>
  <c r="C207" i="2"/>
  <c r="G207" i="2"/>
  <c r="D207" i="2"/>
  <c r="P206" i="2"/>
  <c r="O206" i="2"/>
  <c r="N206" i="2"/>
  <c r="M206" i="2"/>
  <c r="I206" i="2"/>
  <c r="J206" i="2"/>
  <c r="L206" i="2"/>
  <c r="K206" i="2"/>
  <c r="C206" i="2"/>
  <c r="G206" i="2"/>
  <c r="D206" i="2"/>
  <c r="P205" i="2"/>
  <c r="O205" i="2"/>
  <c r="N205" i="2"/>
  <c r="M205" i="2"/>
  <c r="I205" i="2"/>
  <c r="J205" i="2"/>
  <c r="L205" i="2"/>
  <c r="K205" i="2"/>
  <c r="C205" i="2"/>
  <c r="G205" i="2"/>
  <c r="D205" i="2"/>
  <c r="P204" i="2"/>
  <c r="O204" i="2"/>
  <c r="N204" i="2"/>
  <c r="M204" i="2"/>
  <c r="I204" i="2"/>
  <c r="J204" i="2"/>
  <c r="L204" i="2"/>
  <c r="K204" i="2"/>
  <c r="C204" i="2"/>
  <c r="G204" i="2"/>
  <c r="D204" i="2"/>
  <c r="P203" i="2"/>
  <c r="O203" i="2"/>
  <c r="N203" i="2"/>
  <c r="M203" i="2"/>
  <c r="I203" i="2"/>
  <c r="J203" i="2"/>
  <c r="L203" i="2"/>
  <c r="K203" i="2"/>
  <c r="C203" i="2"/>
  <c r="G203" i="2"/>
  <c r="D203" i="2"/>
  <c r="P202" i="2"/>
  <c r="O202" i="2"/>
  <c r="N202" i="2"/>
  <c r="M202" i="2"/>
  <c r="I202" i="2"/>
  <c r="J202" i="2"/>
  <c r="L202" i="2"/>
  <c r="K202" i="2"/>
  <c r="C202" i="2"/>
  <c r="G202" i="2"/>
  <c r="D202" i="2"/>
  <c r="P201" i="2"/>
  <c r="O201" i="2"/>
  <c r="N201" i="2"/>
  <c r="M201" i="2"/>
  <c r="I201" i="2"/>
  <c r="J201" i="2"/>
  <c r="L201" i="2"/>
  <c r="K201" i="2"/>
  <c r="C201" i="2"/>
  <c r="G201" i="2"/>
  <c r="D201" i="2"/>
  <c r="P200" i="2"/>
  <c r="O200" i="2"/>
  <c r="N200" i="2"/>
  <c r="M200" i="2"/>
  <c r="I200" i="2"/>
  <c r="J200" i="2"/>
  <c r="L200" i="2"/>
  <c r="K200" i="2"/>
  <c r="C200" i="2"/>
  <c r="G200" i="2"/>
  <c r="D200" i="2"/>
  <c r="P199" i="2"/>
  <c r="O199" i="2"/>
  <c r="N199" i="2"/>
  <c r="M199" i="2"/>
  <c r="I199" i="2"/>
  <c r="J199" i="2"/>
  <c r="L199" i="2"/>
  <c r="K199" i="2"/>
  <c r="C199" i="2"/>
  <c r="G199" i="2"/>
  <c r="D199" i="2"/>
  <c r="P198" i="2"/>
  <c r="O198" i="2"/>
  <c r="N198" i="2"/>
  <c r="M198" i="2"/>
  <c r="I198" i="2"/>
  <c r="J198" i="2"/>
  <c r="L198" i="2"/>
  <c r="K198" i="2"/>
  <c r="C198" i="2"/>
  <c r="G198" i="2"/>
  <c r="D198" i="2"/>
  <c r="P197" i="2"/>
  <c r="O197" i="2"/>
  <c r="N197" i="2"/>
  <c r="M197" i="2"/>
  <c r="I197" i="2"/>
  <c r="J197" i="2"/>
  <c r="L197" i="2"/>
  <c r="K197" i="2"/>
  <c r="C197" i="2"/>
  <c r="G197" i="2"/>
  <c r="D197" i="2"/>
  <c r="P196" i="2"/>
  <c r="O196" i="2"/>
  <c r="N196" i="2"/>
  <c r="M196" i="2"/>
  <c r="I196" i="2"/>
  <c r="J196" i="2"/>
  <c r="L196" i="2"/>
  <c r="K196" i="2"/>
  <c r="C196" i="2"/>
  <c r="G196" i="2"/>
  <c r="D196" i="2"/>
  <c r="P195" i="2"/>
  <c r="O195" i="2"/>
  <c r="N195" i="2"/>
  <c r="M195" i="2"/>
  <c r="I195" i="2"/>
  <c r="J195" i="2"/>
  <c r="L195" i="2"/>
  <c r="K195" i="2"/>
  <c r="C195" i="2"/>
  <c r="G195" i="2"/>
  <c r="D195" i="2"/>
  <c r="P194" i="2"/>
  <c r="O194" i="2"/>
  <c r="N194" i="2"/>
  <c r="M194" i="2"/>
  <c r="I194" i="2"/>
  <c r="J194" i="2"/>
  <c r="L194" i="2"/>
  <c r="K194" i="2"/>
  <c r="C194" i="2"/>
  <c r="G194" i="2"/>
  <c r="D194" i="2"/>
  <c r="P193" i="2"/>
  <c r="O193" i="2"/>
  <c r="N193" i="2"/>
  <c r="M193" i="2"/>
  <c r="I193" i="2"/>
  <c r="J193" i="2"/>
  <c r="L193" i="2"/>
  <c r="K193" i="2"/>
  <c r="C193" i="2"/>
  <c r="G193" i="2"/>
  <c r="D193" i="2"/>
  <c r="P192" i="2"/>
  <c r="O192" i="2"/>
  <c r="N192" i="2"/>
  <c r="M192" i="2"/>
  <c r="I192" i="2"/>
  <c r="J192" i="2"/>
  <c r="L192" i="2"/>
  <c r="K192" i="2"/>
  <c r="C192" i="2"/>
  <c r="G192" i="2"/>
  <c r="D192" i="2"/>
  <c r="P191" i="2"/>
  <c r="O191" i="2"/>
  <c r="N191" i="2"/>
  <c r="M191" i="2"/>
  <c r="I191" i="2"/>
  <c r="J191" i="2"/>
  <c r="L191" i="2"/>
  <c r="K191" i="2"/>
  <c r="C191" i="2"/>
  <c r="G191" i="2"/>
  <c r="D191" i="2"/>
  <c r="P190" i="2"/>
  <c r="O190" i="2"/>
  <c r="N190" i="2"/>
  <c r="M190" i="2"/>
  <c r="I190" i="2"/>
  <c r="J190" i="2"/>
  <c r="L190" i="2"/>
  <c r="K190" i="2"/>
  <c r="C190" i="2"/>
  <c r="G190" i="2"/>
  <c r="D190" i="2"/>
  <c r="P189" i="2"/>
  <c r="O189" i="2"/>
  <c r="N189" i="2"/>
  <c r="M189" i="2"/>
  <c r="I189" i="2"/>
  <c r="J189" i="2"/>
  <c r="L189" i="2"/>
  <c r="K189" i="2"/>
  <c r="C189" i="2"/>
  <c r="G189" i="2"/>
  <c r="D189" i="2"/>
  <c r="P188" i="2"/>
  <c r="O188" i="2"/>
  <c r="N188" i="2"/>
  <c r="M188" i="2"/>
  <c r="I188" i="2"/>
  <c r="J188" i="2"/>
  <c r="L188" i="2"/>
  <c r="K188" i="2"/>
  <c r="C188" i="2"/>
  <c r="G188" i="2"/>
  <c r="D188" i="2"/>
  <c r="P187" i="2"/>
  <c r="O187" i="2"/>
  <c r="N187" i="2"/>
  <c r="M187" i="2"/>
  <c r="I187" i="2"/>
  <c r="J187" i="2"/>
  <c r="L187" i="2"/>
  <c r="K187" i="2"/>
  <c r="C187" i="2"/>
  <c r="G187" i="2"/>
  <c r="D187" i="2"/>
  <c r="P186" i="2"/>
  <c r="O186" i="2"/>
  <c r="N186" i="2"/>
  <c r="M186" i="2"/>
  <c r="I186" i="2"/>
  <c r="J186" i="2"/>
  <c r="L186" i="2"/>
  <c r="K186" i="2"/>
  <c r="C186" i="2"/>
  <c r="G186" i="2"/>
  <c r="D186" i="2"/>
  <c r="P185" i="2"/>
  <c r="O185" i="2"/>
  <c r="N185" i="2"/>
  <c r="M185" i="2"/>
  <c r="I185" i="2"/>
  <c r="J185" i="2"/>
  <c r="L185" i="2"/>
  <c r="K185" i="2"/>
  <c r="C185" i="2"/>
  <c r="G185" i="2"/>
  <c r="D185" i="2"/>
  <c r="P184" i="2"/>
  <c r="O184" i="2"/>
  <c r="N184" i="2"/>
  <c r="M184" i="2"/>
  <c r="I184" i="2"/>
  <c r="J184" i="2"/>
  <c r="L184" i="2"/>
  <c r="K184" i="2"/>
  <c r="C184" i="2"/>
  <c r="G184" i="2"/>
  <c r="D184" i="2"/>
  <c r="P183" i="2"/>
  <c r="O183" i="2"/>
  <c r="N183" i="2"/>
  <c r="M183" i="2"/>
  <c r="I183" i="2"/>
  <c r="J183" i="2"/>
  <c r="L183" i="2"/>
  <c r="K183" i="2"/>
  <c r="C183" i="2"/>
  <c r="G183" i="2"/>
  <c r="D183" i="2"/>
  <c r="P182" i="2"/>
  <c r="O182" i="2"/>
  <c r="N182" i="2"/>
  <c r="M182" i="2"/>
  <c r="I182" i="2"/>
  <c r="J182" i="2"/>
  <c r="L182" i="2"/>
  <c r="K182" i="2"/>
  <c r="C182" i="2"/>
  <c r="G182" i="2"/>
  <c r="D182" i="2"/>
  <c r="P181" i="2"/>
  <c r="O181" i="2"/>
  <c r="N181" i="2"/>
  <c r="M181" i="2"/>
  <c r="I181" i="2"/>
  <c r="J181" i="2"/>
  <c r="L181" i="2"/>
  <c r="K181" i="2"/>
  <c r="C181" i="2"/>
  <c r="G181" i="2"/>
  <c r="D181" i="2"/>
  <c r="P180" i="2"/>
  <c r="O180" i="2"/>
  <c r="N180" i="2"/>
  <c r="M180" i="2"/>
  <c r="I180" i="2"/>
  <c r="J180" i="2"/>
  <c r="L180" i="2"/>
  <c r="K180" i="2"/>
  <c r="C180" i="2"/>
  <c r="G180" i="2"/>
  <c r="D180" i="2"/>
  <c r="P179" i="2"/>
  <c r="O179" i="2"/>
  <c r="N179" i="2"/>
  <c r="M179" i="2"/>
  <c r="I179" i="2"/>
  <c r="J179" i="2"/>
  <c r="L179" i="2"/>
  <c r="K179" i="2"/>
  <c r="C179" i="2"/>
  <c r="G179" i="2"/>
  <c r="D179" i="2"/>
  <c r="P178" i="2"/>
  <c r="O178" i="2"/>
  <c r="N178" i="2"/>
  <c r="M178" i="2"/>
  <c r="I178" i="2"/>
  <c r="J178" i="2"/>
  <c r="L178" i="2"/>
  <c r="K178" i="2"/>
  <c r="C178" i="2"/>
  <c r="G178" i="2"/>
  <c r="D178" i="2"/>
  <c r="P177" i="2"/>
  <c r="O177" i="2"/>
  <c r="N177" i="2"/>
  <c r="M177" i="2"/>
  <c r="I177" i="2"/>
  <c r="J177" i="2"/>
  <c r="L177" i="2"/>
  <c r="K177" i="2"/>
  <c r="C177" i="2"/>
  <c r="G177" i="2"/>
  <c r="D177" i="2"/>
  <c r="P176" i="2"/>
  <c r="O176" i="2"/>
  <c r="N176" i="2"/>
  <c r="M176" i="2"/>
  <c r="I176" i="2"/>
  <c r="J176" i="2"/>
  <c r="L176" i="2"/>
  <c r="K176" i="2"/>
  <c r="C176" i="2"/>
  <c r="G176" i="2"/>
  <c r="D176" i="2"/>
  <c r="P175" i="2"/>
  <c r="O175" i="2"/>
  <c r="N175" i="2"/>
  <c r="M175" i="2"/>
  <c r="I175" i="2"/>
  <c r="J175" i="2"/>
  <c r="L175" i="2"/>
  <c r="K175" i="2"/>
  <c r="C175" i="2"/>
  <c r="G175" i="2"/>
  <c r="D175" i="2"/>
  <c r="P174" i="2"/>
  <c r="O174" i="2"/>
  <c r="N174" i="2"/>
  <c r="M174" i="2"/>
  <c r="I174" i="2"/>
  <c r="J174" i="2"/>
  <c r="L174" i="2"/>
  <c r="K174" i="2"/>
  <c r="C174" i="2"/>
  <c r="G174" i="2"/>
  <c r="D174" i="2"/>
  <c r="P173" i="2"/>
  <c r="O173" i="2"/>
  <c r="N173" i="2"/>
  <c r="M173" i="2"/>
  <c r="I173" i="2"/>
  <c r="J173" i="2"/>
  <c r="L173" i="2"/>
  <c r="K173" i="2"/>
  <c r="C173" i="2"/>
  <c r="G173" i="2"/>
  <c r="D173" i="2"/>
  <c r="P172" i="2"/>
  <c r="O172" i="2"/>
  <c r="N172" i="2"/>
  <c r="M172" i="2"/>
  <c r="I172" i="2"/>
  <c r="J172" i="2"/>
  <c r="L172" i="2"/>
  <c r="K172" i="2"/>
  <c r="C172" i="2"/>
  <c r="G172" i="2"/>
  <c r="D172" i="2"/>
  <c r="P171" i="2"/>
  <c r="O171" i="2"/>
  <c r="N171" i="2"/>
  <c r="M171" i="2"/>
  <c r="I171" i="2"/>
  <c r="J171" i="2"/>
  <c r="L171" i="2"/>
  <c r="K171" i="2"/>
  <c r="C171" i="2"/>
  <c r="G171" i="2"/>
  <c r="D171" i="2"/>
  <c r="P170" i="2"/>
  <c r="O170" i="2"/>
  <c r="N170" i="2"/>
  <c r="M170" i="2"/>
  <c r="I170" i="2"/>
  <c r="J170" i="2"/>
  <c r="L170" i="2"/>
  <c r="K170" i="2"/>
  <c r="C170" i="2"/>
  <c r="G170" i="2"/>
  <c r="D170" i="2"/>
  <c r="P169" i="2"/>
  <c r="O169" i="2"/>
  <c r="N169" i="2"/>
  <c r="M169" i="2"/>
  <c r="I169" i="2"/>
  <c r="J169" i="2"/>
  <c r="L169" i="2"/>
  <c r="K169" i="2"/>
  <c r="C169" i="2"/>
  <c r="G169" i="2"/>
  <c r="D169" i="2"/>
  <c r="P168" i="2"/>
  <c r="O168" i="2"/>
  <c r="N168" i="2"/>
  <c r="M168" i="2"/>
  <c r="I168" i="2"/>
  <c r="J168" i="2"/>
  <c r="L168" i="2"/>
  <c r="K168" i="2"/>
  <c r="C168" i="2"/>
  <c r="G168" i="2"/>
  <c r="D168" i="2"/>
  <c r="P167" i="2"/>
  <c r="O167" i="2"/>
  <c r="N167" i="2"/>
  <c r="M167" i="2"/>
  <c r="I167" i="2"/>
  <c r="J167" i="2"/>
  <c r="L167" i="2"/>
  <c r="K167" i="2"/>
  <c r="C167" i="2"/>
  <c r="G167" i="2"/>
  <c r="D167" i="2"/>
  <c r="P166" i="2"/>
  <c r="O166" i="2"/>
  <c r="N166" i="2"/>
  <c r="M166" i="2"/>
  <c r="I166" i="2"/>
  <c r="J166" i="2"/>
  <c r="L166" i="2"/>
  <c r="K166" i="2"/>
  <c r="C166" i="2"/>
  <c r="G166" i="2"/>
  <c r="D166" i="2"/>
  <c r="P165" i="2"/>
  <c r="O165" i="2"/>
  <c r="N165" i="2"/>
  <c r="M165" i="2"/>
  <c r="I165" i="2"/>
  <c r="J165" i="2"/>
  <c r="L165" i="2"/>
  <c r="K165" i="2"/>
  <c r="C165" i="2"/>
  <c r="G165" i="2"/>
  <c r="D165" i="2"/>
  <c r="P164" i="2"/>
  <c r="O164" i="2"/>
  <c r="N164" i="2"/>
  <c r="M164" i="2"/>
  <c r="I164" i="2"/>
  <c r="J164" i="2"/>
  <c r="L164" i="2"/>
  <c r="K164" i="2"/>
  <c r="C164" i="2"/>
  <c r="G164" i="2"/>
  <c r="D164" i="2"/>
  <c r="P163" i="2"/>
  <c r="O163" i="2"/>
  <c r="N163" i="2"/>
  <c r="M163" i="2"/>
  <c r="I163" i="2"/>
  <c r="J163" i="2"/>
  <c r="L163" i="2"/>
  <c r="K163" i="2"/>
  <c r="C163" i="2"/>
  <c r="G163" i="2"/>
  <c r="D163" i="2"/>
  <c r="P162" i="2"/>
  <c r="O162" i="2"/>
  <c r="N162" i="2"/>
  <c r="M162" i="2"/>
  <c r="I162" i="2"/>
  <c r="J162" i="2"/>
  <c r="L162" i="2"/>
  <c r="K162" i="2"/>
  <c r="C162" i="2"/>
  <c r="G162" i="2"/>
  <c r="D162" i="2"/>
  <c r="P161" i="2"/>
  <c r="O161" i="2"/>
  <c r="N161" i="2"/>
  <c r="M161" i="2"/>
  <c r="I161" i="2"/>
  <c r="J161" i="2"/>
  <c r="L161" i="2"/>
  <c r="K161" i="2"/>
  <c r="C161" i="2"/>
  <c r="G161" i="2"/>
  <c r="D161" i="2"/>
  <c r="P160" i="2"/>
  <c r="O160" i="2"/>
  <c r="N160" i="2"/>
  <c r="M160" i="2"/>
  <c r="I160" i="2"/>
  <c r="J160" i="2"/>
  <c r="L160" i="2"/>
  <c r="K160" i="2"/>
  <c r="C160" i="2"/>
  <c r="G160" i="2"/>
  <c r="D160" i="2"/>
  <c r="P159" i="2"/>
  <c r="O159" i="2"/>
  <c r="N159" i="2"/>
  <c r="M159" i="2"/>
  <c r="I159" i="2"/>
  <c r="J159" i="2"/>
  <c r="L159" i="2"/>
  <c r="K159" i="2"/>
  <c r="C159" i="2"/>
  <c r="G159" i="2"/>
  <c r="D159" i="2"/>
  <c r="P158" i="2"/>
  <c r="O158" i="2"/>
  <c r="N158" i="2"/>
  <c r="M158" i="2"/>
  <c r="I158" i="2"/>
  <c r="J158" i="2"/>
  <c r="L158" i="2"/>
  <c r="K158" i="2"/>
  <c r="C158" i="2"/>
  <c r="G158" i="2"/>
  <c r="D158" i="2"/>
  <c r="P157" i="2"/>
  <c r="O157" i="2"/>
  <c r="N157" i="2"/>
  <c r="M157" i="2"/>
  <c r="I157" i="2"/>
  <c r="J157" i="2"/>
  <c r="L157" i="2"/>
  <c r="K157" i="2"/>
  <c r="C157" i="2"/>
  <c r="G157" i="2"/>
  <c r="D157" i="2"/>
  <c r="P156" i="2"/>
  <c r="O156" i="2"/>
  <c r="N156" i="2"/>
  <c r="M156" i="2"/>
  <c r="I156" i="2"/>
  <c r="J156" i="2"/>
  <c r="L156" i="2"/>
  <c r="K156" i="2"/>
  <c r="C156" i="2"/>
  <c r="G156" i="2"/>
  <c r="D156" i="2"/>
  <c r="P155" i="2"/>
  <c r="O155" i="2"/>
  <c r="N155" i="2"/>
  <c r="M155" i="2"/>
  <c r="I155" i="2"/>
  <c r="J155" i="2"/>
  <c r="L155" i="2"/>
  <c r="K155" i="2"/>
  <c r="C155" i="2"/>
  <c r="G155" i="2"/>
  <c r="D155" i="2"/>
  <c r="P154" i="2"/>
  <c r="O154" i="2"/>
  <c r="N154" i="2"/>
  <c r="M154" i="2"/>
  <c r="I154" i="2"/>
  <c r="J154" i="2"/>
  <c r="L154" i="2"/>
  <c r="K154" i="2"/>
  <c r="C154" i="2"/>
  <c r="G154" i="2"/>
  <c r="D154" i="2"/>
  <c r="P153" i="2"/>
  <c r="O153" i="2"/>
  <c r="N153" i="2"/>
  <c r="M153" i="2"/>
  <c r="I153" i="2"/>
  <c r="J153" i="2"/>
  <c r="L153" i="2"/>
  <c r="K153" i="2"/>
  <c r="C153" i="2"/>
  <c r="G153" i="2"/>
  <c r="D153" i="2"/>
  <c r="P152" i="2"/>
  <c r="O152" i="2"/>
  <c r="N152" i="2"/>
  <c r="M152" i="2"/>
  <c r="I152" i="2"/>
  <c r="J152" i="2"/>
  <c r="L152" i="2"/>
  <c r="K152" i="2"/>
  <c r="C152" i="2"/>
  <c r="G152" i="2"/>
  <c r="D152" i="2"/>
  <c r="P151" i="2"/>
  <c r="O151" i="2"/>
  <c r="N151" i="2"/>
  <c r="M151" i="2"/>
  <c r="I151" i="2"/>
  <c r="J151" i="2"/>
  <c r="L151" i="2"/>
  <c r="K151" i="2"/>
  <c r="C151" i="2"/>
  <c r="G151" i="2"/>
  <c r="D151" i="2"/>
  <c r="P150" i="2"/>
  <c r="O150" i="2"/>
  <c r="N150" i="2"/>
  <c r="M150" i="2"/>
  <c r="I150" i="2"/>
  <c r="J150" i="2"/>
  <c r="L150" i="2"/>
  <c r="K150" i="2"/>
  <c r="C150" i="2"/>
  <c r="G150" i="2"/>
  <c r="D150" i="2"/>
  <c r="P149" i="2"/>
  <c r="O149" i="2"/>
  <c r="N149" i="2"/>
  <c r="M149" i="2"/>
  <c r="I149" i="2"/>
  <c r="J149" i="2"/>
  <c r="L149" i="2"/>
  <c r="K149" i="2"/>
  <c r="C149" i="2"/>
  <c r="G149" i="2"/>
  <c r="D149" i="2"/>
  <c r="P148" i="2"/>
  <c r="O148" i="2"/>
  <c r="N148" i="2"/>
  <c r="M148" i="2"/>
  <c r="I148" i="2"/>
  <c r="J148" i="2"/>
  <c r="L148" i="2"/>
  <c r="K148" i="2"/>
  <c r="C148" i="2"/>
  <c r="G148" i="2"/>
  <c r="D148" i="2"/>
  <c r="P147" i="2"/>
  <c r="O147" i="2"/>
  <c r="N147" i="2"/>
  <c r="M147" i="2"/>
  <c r="I147" i="2"/>
  <c r="J147" i="2"/>
  <c r="L147" i="2"/>
  <c r="K147" i="2"/>
  <c r="C147" i="2"/>
  <c r="G147" i="2"/>
  <c r="D147" i="2"/>
  <c r="P146" i="2"/>
  <c r="O146" i="2"/>
  <c r="N146" i="2"/>
  <c r="M146" i="2"/>
  <c r="I146" i="2"/>
  <c r="J146" i="2"/>
  <c r="L146" i="2"/>
  <c r="K146" i="2"/>
  <c r="C146" i="2"/>
  <c r="G146" i="2"/>
  <c r="D146" i="2"/>
  <c r="P145" i="2"/>
  <c r="O145" i="2"/>
  <c r="N145" i="2"/>
  <c r="M145" i="2"/>
  <c r="I145" i="2"/>
  <c r="J145" i="2"/>
  <c r="L145" i="2"/>
  <c r="K145" i="2"/>
  <c r="C145" i="2"/>
  <c r="G145" i="2"/>
  <c r="D145" i="2"/>
  <c r="P144" i="2"/>
  <c r="O144" i="2"/>
  <c r="N144" i="2"/>
  <c r="M144" i="2"/>
  <c r="I144" i="2"/>
  <c r="J144" i="2"/>
  <c r="L144" i="2"/>
  <c r="K144" i="2"/>
  <c r="C144" i="2"/>
  <c r="G144" i="2"/>
  <c r="D144" i="2"/>
  <c r="P143" i="2"/>
  <c r="O143" i="2"/>
  <c r="N143" i="2"/>
  <c r="M143" i="2"/>
  <c r="I143" i="2"/>
  <c r="J143" i="2"/>
  <c r="L143" i="2"/>
  <c r="K143" i="2"/>
  <c r="C143" i="2"/>
  <c r="G143" i="2"/>
  <c r="D143" i="2"/>
  <c r="P142" i="2"/>
  <c r="O142" i="2"/>
  <c r="N142" i="2"/>
  <c r="M142" i="2"/>
  <c r="I142" i="2"/>
  <c r="J142" i="2"/>
  <c r="L142" i="2"/>
  <c r="K142" i="2"/>
  <c r="C142" i="2"/>
  <c r="G142" i="2"/>
  <c r="D142" i="2"/>
  <c r="P141" i="2"/>
  <c r="O141" i="2"/>
  <c r="N141" i="2"/>
  <c r="M141" i="2"/>
  <c r="I141" i="2"/>
  <c r="J141" i="2"/>
  <c r="L141" i="2"/>
  <c r="K141" i="2"/>
  <c r="C141" i="2"/>
  <c r="G141" i="2"/>
  <c r="D141" i="2"/>
  <c r="P140" i="2"/>
  <c r="O140" i="2"/>
  <c r="N140" i="2"/>
  <c r="M140" i="2"/>
  <c r="I140" i="2"/>
  <c r="J140" i="2"/>
  <c r="L140" i="2"/>
  <c r="K140" i="2"/>
  <c r="C140" i="2"/>
  <c r="G140" i="2"/>
  <c r="D140" i="2"/>
  <c r="P139" i="2"/>
  <c r="O139" i="2"/>
  <c r="N139" i="2"/>
  <c r="M139" i="2"/>
  <c r="I139" i="2"/>
  <c r="J139" i="2"/>
  <c r="L139" i="2"/>
  <c r="K139" i="2"/>
  <c r="C139" i="2"/>
  <c r="G139" i="2"/>
  <c r="D139" i="2"/>
  <c r="P138" i="2"/>
  <c r="O138" i="2"/>
  <c r="N138" i="2"/>
  <c r="M138" i="2"/>
  <c r="I138" i="2"/>
  <c r="J138" i="2"/>
  <c r="L138" i="2"/>
  <c r="K138" i="2"/>
  <c r="C138" i="2"/>
  <c r="G138" i="2"/>
  <c r="D138" i="2"/>
  <c r="P137" i="2"/>
  <c r="O137" i="2"/>
  <c r="N137" i="2"/>
  <c r="M137" i="2"/>
  <c r="I137" i="2"/>
  <c r="J137" i="2"/>
  <c r="L137" i="2"/>
  <c r="K137" i="2"/>
  <c r="C137" i="2"/>
  <c r="G137" i="2"/>
  <c r="D137" i="2"/>
  <c r="P136" i="2"/>
  <c r="O136" i="2"/>
  <c r="N136" i="2"/>
  <c r="M136" i="2"/>
  <c r="I136" i="2"/>
  <c r="J136" i="2"/>
  <c r="L136" i="2"/>
  <c r="K136" i="2"/>
  <c r="C136" i="2"/>
  <c r="G136" i="2"/>
  <c r="D136" i="2"/>
  <c r="P135" i="2"/>
  <c r="O135" i="2"/>
  <c r="N135" i="2"/>
  <c r="M135" i="2"/>
  <c r="I135" i="2"/>
  <c r="J135" i="2"/>
  <c r="L135" i="2"/>
  <c r="K135" i="2"/>
  <c r="C135" i="2"/>
  <c r="G135" i="2"/>
  <c r="D135" i="2"/>
  <c r="P134" i="2"/>
  <c r="O134" i="2"/>
  <c r="N134" i="2"/>
  <c r="M134" i="2"/>
  <c r="I134" i="2"/>
  <c r="J134" i="2"/>
  <c r="L134" i="2"/>
  <c r="K134" i="2"/>
  <c r="C134" i="2"/>
  <c r="G134" i="2"/>
  <c r="D134" i="2"/>
  <c r="P133" i="2"/>
  <c r="O133" i="2"/>
  <c r="N133" i="2"/>
  <c r="M133" i="2"/>
  <c r="I133" i="2"/>
  <c r="J133" i="2"/>
  <c r="L133" i="2"/>
  <c r="K133" i="2"/>
  <c r="C133" i="2"/>
  <c r="G133" i="2"/>
  <c r="D133" i="2"/>
  <c r="P132" i="2"/>
  <c r="O132" i="2"/>
  <c r="N132" i="2"/>
  <c r="M132" i="2"/>
  <c r="I132" i="2"/>
  <c r="J132" i="2"/>
  <c r="L132" i="2"/>
  <c r="K132" i="2"/>
  <c r="C132" i="2"/>
  <c r="G132" i="2"/>
  <c r="D132" i="2"/>
  <c r="P131" i="2"/>
  <c r="O131" i="2"/>
  <c r="N131" i="2"/>
  <c r="M131" i="2"/>
  <c r="I131" i="2"/>
  <c r="J131" i="2"/>
  <c r="L131" i="2"/>
  <c r="K131" i="2"/>
  <c r="C131" i="2"/>
  <c r="G131" i="2"/>
  <c r="D131" i="2"/>
  <c r="P130" i="2"/>
  <c r="O130" i="2"/>
  <c r="N130" i="2"/>
  <c r="M130" i="2"/>
  <c r="I130" i="2"/>
  <c r="J130" i="2"/>
  <c r="L130" i="2"/>
  <c r="K130" i="2"/>
  <c r="C130" i="2"/>
  <c r="G130" i="2"/>
  <c r="D130" i="2"/>
  <c r="P129" i="2"/>
  <c r="O129" i="2"/>
  <c r="N129" i="2"/>
  <c r="M129" i="2"/>
  <c r="I129" i="2"/>
  <c r="J129" i="2"/>
  <c r="L129" i="2"/>
  <c r="K129" i="2"/>
  <c r="C129" i="2"/>
  <c r="G129" i="2"/>
  <c r="D129" i="2"/>
  <c r="P128" i="2"/>
  <c r="O128" i="2"/>
  <c r="N128" i="2"/>
  <c r="M128" i="2"/>
  <c r="I128" i="2"/>
  <c r="J128" i="2"/>
  <c r="L128" i="2"/>
  <c r="K128" i="2"/>
  <c r="C128" i="2"/>
  <c r="G128" i="2"/>
  <c r="D128" i="2"/>
  <c r="P127" i="2"/>
  <c r="O127" i="2"/>
  <c r="N127" i="2"/>
  <c r="M127" i="2"/>
  <c r="I127" i="2"/>
  <c r="J127" i="2"/>
  <c r="L127" i="2"/>
  <c r="K127" i="2"/>
  <c r="C127" i="2"/>
  <c r="G127" i="2"/>
  <c r="D127" i="2"/>
  <c r="P126" i="2"/>
  <c r="O126" i="2"/>
  <c r="N126" i="2"/>
  <c r="M126" i="2"/>
  <c r="I126" i="2"/>
  <c r="J126" i="2"/>
  <c r="L126" i="2"/>
  <c r="K126" i="2"/>
  <c r="C126" i="2"/>
  <c r="G126" i="2"/>
  <c r="D126" i="2"/>
  <c r="P125" i="2"/>
  <c r="O125" i="2"/>
  <c r="N125" i="2"/>
  <c r="M125" i="2"/>
  <c r="I125" i="2"/>
  <c r="J125" i="2"/>
  <c r="L125" i="2"/>
  <c r="K125" i="2"/>
  <c r="C125" i="2"/>
  <c r="G125" i="2"/>
  <c r="D125" i="2"/>
  <c r="P124" i="2"/>
  <c r="O124" i="2"/>
  <c r="N124" i="2"/>
  <c r="M124" i="2"/>
  <c r="I124" i="2"/>
  <c r="J124" i="2"/>
  <c r="L124" i="2"/>
  <c r="K124" i="2"/>
  <c r="C124" i="2"/>
  <c r="G124" i="2"/>
  <c r="D124" i="2"/>
  <c r="P123" i="2"/>
  <c r="O123" i="2"/>
  <c r="N123" i="2"/>
  <c r="M123" i="2"/>
  <c r="I123" i="2"/>
  <c r="J123" i="2"/>
  <c r="L123" i="2"/>
  <c r="K123" i="2"/>
  <c r="C123" i="2"/>
  <c r="G123" i="2"/>
  <c r="D123" i="2"/>
  <c r="P122" i="2"/>
  <c r="O122" i="2"/>
  <c r="N122" i="2"/>
  <c r="M122" i="2"/>
  <c r="I122" i="2"/>
  <c r="J122" i="2"/>
  <c r="L122" i="2"/>
  <c r="K122" i="2"/>
  <c r="C122" i="2"/>
  <c r="G122" i="2"/>
  <c r="D122" i="2"/>
  <c r="P121" i="2"/>
  <c r="O121" i="2"/>
  <c r="N121" i="2"/>
  <c r="M121" i="2"/>
  <c r="I121" i="2"/>
  <c r="J121" i="2"/>
  <c r="L121" i="2"/>
  <c r="K121" i="2"/>
  <c r="C121" i="2"/>
  <c r="G121" i="2"/>
  <c r="D121" i="2"/>
  <c r="P120" i="2"/>
  <c r="O120" i="2"/>
  <c r="N120" i="2"/>
  <c r="M120" i="2"/>
  <c r="I120" i="2"/>
  <c r="J120" i="2"/>
  <c r="L120" i="2"/>
  <c r="K120" i="2"/>
  <c r="C120" i="2"/>
  <c r="G120" i="2"/>
  <c r="D120" i="2"/>
  <c r="P119" i="2"/>
  <c r="O119" i="2"/>
  <c r="N119" i="2"/>
  <c r="M119" i="2"/>
  <c r="I119" i="2"/>
  <c r="J119" i="2"/>
  <c r="L119" i="2"/>
  <c r="K119" i="2"/>
  <c r="C119" i="2"/>
  <c r="G119" i="2"/>
  <c r="D119" i="2"/>
  <c r="P118" i="2"/>
  <c r="O118" i="2"/>
  <c r="N118" i="2"/>
  <c r="M118" i="2"/>
  <c r="I118" i="2"/>
  <c r="J118" i="2"/>
  <c r="L118" i="2"/>
  <c r="K118" i="2"/>
  <c r="C118" i="2"/>
  <c r="G118" i="2"/>
  <c r="D118" i="2"/>
  <c r="P117" i="2"/>
  <c r="O117" i="2"/>
  <c r="N117" i="2"/>
  <c r="M117" i="2"/>
  <c r="I117" i="2"/>
  <c r="J117" i="2"/>
  <c r="L117" i="2"/>
  <c r="K117" i="2"/>
  <c r="C117" i="2"/>
  <c r="G117" i="2"/>
  <c r="D117" i="2"/>
  <c r="P116" i="2"/>
  <c r="O116" i="2"/>
  <c r="N116" i="2"/>
  <c r="M116" i="2"/>
  <c r="I116" i="2"/>
  <c r="J116" i="2"/>
  <c r="L116" i="2"/>
  <c r="K116" i="2"/>
  <c r="C116" i="2"/>
  <c r="G116" i="2"/>
  <c r="D116" i="2"/>
  <c r="P115" i="2"/>
  <c r="O115" i="2"/>
  <c r="N115" i="2"/>
  <c r="M115" i="2"/>
  <c r="I115" i="2"/>
  <c r="J115" i="2"/>
  <c r="L115" i="2"/>
  <c r="K115" i="2"/>
  <c r="C115" i="2"/>
  <c r="G115" i="2"/>
  <c r="D115" i="2"/>
  <c r="P114" i="2"/>
  <c r="O114" i="2"/>
  <c r="N114" i="2"/>
  <c r="M114" i="2"/>
  <c r="I114" i="2"/>
  <c r="J114" i="2"/>
  <c r="L114" i="2"/>
  <c r="K114" i="2"/>
  <c r="C114" i="2"/>
  <c r="G114" i="2"/>
  <c r="D114" i="2"/>
  <c r="P113" i="2"/>
  <c r="O113" i="2"/>
  <c r="N113" i="2"/>
  <c r="M113" i="2"/>
  <c r="I113" i="2"/>
  <c r="J113" i="2"/>
  <c r="L113" i="2"/>
  <c r="K113" i="2"/>
  <c r="C113" i="2"/>
  <c r="G113" i="2"/>
  <c r="D113" i="2"/>
  <c r="P112" i="2"/>
  <c r="O112" i="2"/>
  <c r="N112" i="2"/>
  <c r="M112" i="2"/>
  <c r="I112" i="2"/>
  <c r="J112" i="2"/>
  <c r="L112" i="2"/>
  <c r="K112" i="2"/>
  <c r="C112" i="2"/>
  <c r="G112" i="2"/>
  <c r="D112" i="2"/>
  <c r="P111" i="2"/>
  <c r="O111" i="2"/>
  <c r="N111" i="2"/>
  <c r="M111" i="2"/>
  <c r="I111" i="2"/>
  <c r="J111" i="2"/>
  <c r="L111" i="2"/>
  <c r="K111" i="2"/>
  <c r="C111" i="2"/>
  <c r="G111" i="2"/>
  <c r="D111" i="2"/>
  <c r="P110" i="2"/>
  <c r="O110" i="2"/>
  <c r="N110" i="2"/>
  <c r="M110" i="2"/>
  <c r="I110" i="2"/>
  <c r="J110" i="2"/>
  <c r="L110" i="2"/>
  <c r="K110" i="2"/>
  <c r="C110" i="2"/>
  <c r="G110" i="2"/>
  <c r="D110" i="2"/>
  <c r="P109" i="2"/>
  <c r="O109" i="2"/>
  <c r="N109" i="2"/>
  <c r="M109" i="2"/>
  <c r="I109" i="2"/>
  <c r="J109" i="2"/>
  <c r="L109" i="2"/>
  <c r="K109" i="2"/>
  <c r="C109" i="2"/>
  <c r="G109" i="2"/>
  <c r="D109" i="2"/>
  <c r="P108" i="2"/>
  <c r="O108" i="2"/>
  <c r="N108" i="2"/>
  <c r="M108" i="2"/>
  <c r="I108" i="2"/>
  <c r="J108" i="2"/>
  <c r="L108" i="2"/>
  <c r="K108" i="2"/>
  <c r="C108" i="2"/>
  <c r="G108" i="2"/>
  <c r="D108" i="2"/>
  <c r="P107" i="2"/>
  <c r="O107" i="2"/>
  <c r="N107" i="2"/>
  <c r="M107" i="2"/>
  <c r="I107" i="2"/>
  <c r="J107" i="2"/>
  <c r="L107" i="2"/>
  <c r="K107" i="2"/>
  <c r="C107" i="2"/>
  <c r="G107" i="2"/>
  <c r="D107" i="2"/>
  <c r="P106" i="2"/>
  <c r="O106" i="2"/>
  <c r="N106" i="2"/>
  <c r="M106" i="2"/>
  <c r="I106" i="2"/>
  <c r="J106" i="2"/>
  <c r="L106" i="2"/>
  <c r="K106" i="2"/>
  <c r="C106" i="2"/>
  <c r="G106" i="2"/>
  <c r="D106" i="2"/>
  <c r="P105" i="2"/>
  <c r="O105" i="2"/>
  <c r="N105" i="2"/>
  <c r="M105" i="2"/>
  <c r="I105" i="2"/>
  <c r="J105" i="2"/>
  <c r="L105" i="2"/>
  <c r="K105" i="2"/>
  <c r="C105" i="2"/>
  <c r="G105" i="2"/>
  <c r="D105" i="2"/>
  <c r="P104" i="2"/>
  <c r="O104" i="2"/>
  <c r="N104" i="2"/>
  <c r="M104" i="2"/>
  <c r="I104" i="2"/>
  <c r="J104" i="2"/>
  <c r="L104" i="2"/>
  <c r="K104" i="2"/>
  <c r="C104" i="2"/>
  <c r="G104" i="2"/>
  <c r="D104" i="2"/>
  <c r="P103" i="2"/>
  <c r="O103" i="2"/>
  <c r="N103" i="2"/>
  <c r="M103" i="2"/>
  <c r="I103" i="2"/>
  <c r="J103" i="2"/>
  <c r="L103" i="2"/>
  <c r="K103" i="2"/>
  <c r="C103" i="2"/>
  <c r="G103" i="2"/>
  <c r="D103" i="2"/>
  <c r="P102" i="2"/>
  <c r="O102" i="2"/>
  <c r="N102" i="2"/>
  <c r="M102" i="2"/>
  <c r="I102" i="2"/>
  <c r="J102" i="2"/>
  <c r="L102" i="2"/>
  <c r="K102" i="2"/>
  <c r="C102" i="2"/>
  <c r="G102" i="2"/>
  <c r="D102" i="2"/>
  <c r="P101" i="2"/>
  <c r="O101" i="2"/>
  <c r="N101" i="2"/>
  <c r="M101" i="2"/>
  <c r="I101" i="2"/>
  <c r="J101" i="2"/>
  <c r="L101" i="2"/>
  <c r="K101" i="2"/>
  <c r="C101" i="2"/>
  <c r="G101" i="2"/>
  <c r="D101" i="2"/>
  <c r="P100" i="2"/>
  <c r="O100" i="2"/>
  <c r="N100" i="2"/>
  <c r="M100" i="2"/>
  <c r="I100" i="2"/>
  <c r="J100" i="2"/>
  <c r="L100" i="2"/>
  <c r="K100" i="2"/>
  <c r="C100" i="2"/>
  <c r="G100" i="2"/>
  <c r="D100" i="2"/>
  <c r="P99" i="2"/>
  <c r="O99" i="2"/>
  <c r="N99" i="2"/>
  <c r="M99" i="2"/>
  <c r="I99" i="2"/>
  <c r="J99" i="2"/>
  <c r="L99" i="2"/>
  <c r="K99" i="2"/>
  <c r="C99" i="2"/>
  <c r="G99" i="2"/>
  <c r="D99" i="2"/>
  <c r="P98" i="2"/>
  <c r="O98" i="2"/>
  <c r="N98" i="2"/>
  <c r="M98" i="2"/>
  <c r="I98" i="2"/>
  <c r="J98" i="2"/>
  <c r="L98" i="2"/>
  <c r="K98" i="2"/>
  <c r="C98" i="2"/>
  <c r="G98" i="2"/>
  <c r="D98" i="2"/>
  <c r="P97" i="2"/>
  <c r="O97" i="2"/>
  <c r="N97" i="2"/>
  <c r="M97" i="2"/>
  <c r="I97" i="2"/>
  <c r="J97" i="2"/>
  <c r="L97" i="2"/>
  <c r="K97" i="2"/>
  <c r="C97" i="2"/>
  <c r="G97" i="2"/>
  <c r="D97" i="2"/>
  <c r="P96" i="2"/>
  <c r="O96" i="2"/>
  <c r="N96" i="2"/>
  <c r="M96" i="2"/>
  <c r="I96" i="2"/>
  <c r="J96" i="2"/>
  <c r="L96" i="2"/>
  <c r="K96" i="2"/>
  <c r="C96" i="2"/>
  <c r="G96" i="2"/>
  <c r="D96" i="2"/>
  <c r="P95" i="2"/>
  <c r="O95" i="2"/>
  <c r="N95" i="2"/>
  <c r="M95" i="2"/>
  <c r="I95" i="2"/>
  <c r="J95" i="2"/>
  <c r="L95" i="2"/>
  <c r="K95" i="2"/>
  <c r="C95" i="2"/>
  <c r="G95" i="2"/>
  <c r="D95" i="2"/>
  <c r="P94" i="2"/>
  <c r="O94" i="2"/>
  <c r="N94" i="2"/>
  <c r="M94" i="2"/>
  <c r="I94" i="2"/>
  <c r="J94" i="2"/>
  <c r="L94" i="2"/>
  <c r="K94" i="2"/>
  <c r="C94" i="2"/>
  <c r="G94" i="2"/>
  <c r="D94" i="2"/>
  <c r="P93" i="2"/>
  <c r="O93" i="2"/>
  <c r="N93" i="2"/>
  <c r="M93" i="2"/>
  <c r="I93" i="2"/>
  <c r="J93" i="2"/>
  <c r="L93" i="2"/>
  <c r="K93" i="2"/>
  <c r="C93" i="2"/>
  <c r="G93" i="2"/>
  <c r="D93" i="2"/>
  <c r="P92" i="2"/>
  <c r="O92" i="2"/>
  <c r="N92" i="2"/>
  <c r="M92" i="2"/>
  <c r="I92" i="2"/>
  <c r="J92" i="2"/>
  <c r="L92" i="2"/>
  <c r="K92" i="2"/>
  <c r="C92" i="2"/>
  <c r="G92" i="2"/>
  <c r="D92" i="2"/>
  <c r="P91" i="2"/>
  <c r="O91" i="2"/>
  <c r="N91" i="2"/>
  <c r="M91" i="2"/>
  <c r="I91" i="2"/>
  <c r="J91" i="2"/>
  <c r="L91" i="2"/>
  <c r="K91" i="2"/>
  <c r="C91" i="2"/>
  <c r="G91" i="2"/>
  <c r="D91" i="2"/>
  <c r="P90" i="2"/>
  <c r="O90" i="2"/>
  <c r="N90" i="2"/>
  <c r="M90" i="2"/>
  <c r="I90" i="2"/>
  <c r="J90" i="2"/>
  <c r="L90" i="2"/>
  <c r="K90" i="2"/>
  <c r="C90" i="2"/>
  <c r="G90" i="2"/>
  <c r="D90" i="2"/>
  <c r="P89" i="2"/>
  <c r="O89" i="2"/>
  <c r="N89" i="2"/>
  <c r="M89" i="2"/>
  <c r="I89" i="2"/>
  <c r="J89" i="2"/>
  <c r="L89" i="2"/>
  <c r="K89" i="2"/>
  <c r="C89" i="2"/>
  <c r="G89" i="2"/>
  <c r="D89" i="2"/>
  <c r="P88" i="2"/>
  <c r="O88" i="2"/>
  <c r="N88" i="2"/>
  <c r="M88" i="2"/>
  <c r="I88" i="2"/>
  <c r="J88" i="2"/>
  <c r="L88" i="2"/>
  <c r="K88" i="2"/>
  <c r="C88" i="2"/>
  <c r="G88" i="2"/>
  <c r="D88" i="2"/>
  <c r="P87" i="2"/>
  <c r="O87" i="2"/>
  <c r="N87" i="2"/>
  <c r="M87" i="2"/>
  <c r="I87" i="2"/>
  <c r="J87" i="2"/>
  <c r="L87" i="2"/>
  <c r="K87" i="2"/>
  <c r="C87" i="2"/>
  <c r="G87" i="2"/>
  <c r="D87" i="2"/>
  <c r="P86" i="2"/>
  <c r="O86" i="2"/>
  <c r="N86" i="2"/>
  <c r="M86" i="2"/>
  <c r="I86" i="2"/>
  <c r="J86" i="2"/>
  <c r="L86" i="2"/>
  <c r="K86" i="2"/>
  <c r="C86" i="2"/>
  <c r="G86" i="2"/>
  <c r="D86" i="2"/>
  <c r="P85" i="2"/>
  <c r="O85" i="2"/>
  <c r="N85" i="2"/>
  <c r="M85" i="2"/>
  <c r="I85" i="2"/>
  <c r="J85" i="2"/>
  <c r="L85" i="2"/>
  <c r="K85" i="2"/>
  <c r="C85" i="2"/>
  <c r="G85" i="2"/>
  <c r="D85" i="2"/>
  <c r="P84" i="2"/>
  <c r="O84" i="2"/>
  <c r="N84" i="2"/>
  <c r="M84" i="2"/>
  <c r="I84" i="2"/>
  <c r="J84" i="2"/>
  <c r="L84" i="2"/>
  <c r="K84" i="2"/>
  <c r="C84" i="2"/>
  <c r="G84" i="2"/>
  <c r="D84" i="2"/>
  <c r="P83" i="2"/>
  <c r="O83" i="2"/>
  <c r="N83" i="2"/>
  <c r="M83" i="2"/>
  <c r="I83" i="2"/>
  <c r="J83" i="2"/>
  <c r="L83" i="2"/>
  <c r="K83" i="2"/>
  <c r="C83" i="2"/>
  <c r="G83" i="2"/>
  <c r="D83" i="2"/>
  <c r="P82" i="2"/>
  <c r="O82" i="2"/>
  <c r="N82" i="2"/>
  <c r="M82" i="2"/>
  <c r="I82" i="2"/>
  <c r="J82" i="2"/>
  <c r="L82" i="2"/>
  <c r="K82" i="2"/>
  <c r="C82" i="2"/>
  <c r="G82" i="2"/>
  <c r="D82" i="2"/>
  <c r="P81" i="2"/>
  <c r="O81" i="2"/>
  <c r="N81" i="2"/>
  <c r="M81" i="2"/>
  <c r="I81" i="2"/>
  <c r="J81" i="2"/>
  <c r="L81" i="2"/>
  <c r="K81" i="2"/>
  <c r="C81" i="2"/>
  <c r="G81" i="2"/>
  <c r="D81" i="2"/>
  <c r="P80" i="2"/>
  <c r="O80" i="2"/>
  <c r="N80" i="2"/>
  <c r="M80" i="2"/>
  <c r="I80" i="2"/>
  <c r="J80" i="2"/>
  <c r="L80" i="2"/>
  <c r="K80" i="2"/>
  <c r="C80" i="2"/>
  <c r="G80" i="2"/>
  <c r="D80" i="2"/>
  <c r="P79" i="2"/>
  <c r="O79" i="2"/>
  <c r="N79" i="2"/>
  <c r="M79" i="2"/>
  <c r="I79" i="2"/>
  <c r="J79" i="2"/>
  <c r="L79" i="2"/>
  <c r="K79" i="2"/>
  <c r="C79" i="2"/>
  <c r="G79" i="2"/>
  <c r="D79" i="2"/>
  <c r="P78" i="2"/>
  <c r="O78" i="2"/>
  <c r="N78" i="2"/>
  <c r="M78" i="2"/>
  <c r="I78" i="2"/>
  <c r="J78" i="2"/>
  <c r="L78" i="2"/>
  <c r="K78" i="2"/>
  <c r="C78" i="2"/>
  <c r="G78" i="2"/>
  <c r="D78" i="2"/>
  <c r="P77" i="2"/>
  <c r="O77" i="2"/>
  <c r="N77" i="2"/>
  <c r="M77" i="2"/>
  <c r="I77" i="2"/>
  <c r="J77" i="2"/>
  <c r="L77" i="2"/>
  <c r="K77" i="2"/>
  <c r="C77" i="2"/>
  <c r="G77" i="2"/>
  <c r="D77" i="2"/>
  <c r="P76" i="2"/>
  <c r="O76" i="2"/>
  <c r="N76" i="2"/>
  <c r="M76" i="2"/>
  <c r="I76" i="2"/>
  <c r="J76" i="2"/>
  <c r="L76" i="2"/>
  <c r="K76" i="2"/>
  <c r="C76" i="2"/>
  <c r="G76" i="2"/>
  <c r="D76" i="2"/>
  <c r="P75" i="2"/>
  <c r="O75" i="2"/>
  <c r="N75" i="2"/>
  <c r="M75" i="2"/>
  <c r="I75" i="2"/>
  <c r="J75" i="2"/>
  <c r="L75" i="2"/>
  <c r="K75" i="2"/>
  <c r="C75" i="2"/>
  <c r="G75" i="2"/>
  <c r="D75" i="2"/>
  <c r="P74" i="2"/>
  <c r="O74" i="2"/>
  <c r="N74" i="2"/>
  <c r="M74" i="2"/>
  <c r="I74" i="2"/>
  <c r="J74" i="2"/>
  <c r="L74" i="2"/>
  <c r="K74" i="2"/>
  <c r="C74" i="2"/>
  <c r="G74" i="2"/>
  <c r="D74" i="2"/>
  <c r="P73" i="2"/>
  <c r="O73" i="2"/>
  <c r="N73" i="2"/>
  <c r="M73" i="2"/>
  <c r="I73" i="2"/>
  <c r="J73" i="2"/>
  <c r="L73" i="2"/>
  <c r="K73" i="2"/>
  <c r="C73" i="2"/>
  <c r="G73" i="2"/>
  <c r="D73" i="2"/>
  <c r="P72" i="2"/>
  <c r="O72" i="2"/>
  <c r="N72" i="2"/>
  <c r="M72" i="2"/>
  <c r="I72" i="2"/>
  <c r="J72" i="2"/>
  <c r="L72" i="2"/>
  <c r="K72" i="2"/>
  <c r="C72" i="2"/>
  <c r="G72" i="2"/>
  <c r="D72" i="2"/>
  <c r="P71" i="2"/>
  <c r="O71" i="2"/>
  <c r="N71" i="2"/>
  <c r="M71" i="2"/>
  <c r="I71" i="2"/>
  <c r="J71" i="2"/>
  <c r="L71" i="2"/>
  <c r="K71" i="2"/>
  <c r="C71" i="2"/>
  <c r="G71" i="2"/>
  <c r="D71" i="2"/>
  <c r="P70" i="2"/>
  <c r="O70" i="2"/>
  <c r="N70" i="2"/>
  <c r="M70" i="2"/>
  <c r="I70" i="2"/>
  <c r="J70" i="2"/>
  <c r="L70" i="2"/>
  <c r="K70" i="2"/>
  <c r="C70" i="2"/>
  <c r="G70" i="2"/>
  <c r="D70" i="2"/>
  <c r="P69" i="2"/>
  <c r="O69" i="2"/>
  <c r="N69" i="2"/>
  <c r="M69" i="2"/>
  <c r="I69" i="2"/>
  <c r="J69" i="2"/>
  <c r="L69" i="2"/>
  <c r="K69" i="2"/>
  <c r="C69" i="2"/>
  <c r="G69" i="2"/>
  <c r="D69" i="2"/>
  <c r="P68" i="2"/>
  <c r="O68" i="2"/>
  <c r="N68" i="2"/>
  <c r="M68" i="2"/>
  <c r="I68" i="2"/>
  <c r="J68" i="2"/>
  <c r="L68" i="2"/>
  <c r="K68" i="2"/>
  <c r="C68" i="2"/>
  <c r="G68" i="2"/>
  <c r="D68" i="2"/>
  <c r="P67" i="2"/>
  <c r="O67" i="2"/>
  <c r="N67" i="2"/>
  <c r="M67" i="2"/>
  <c r="I67" i="2"/>
  <c r="J67" i="2"/>
  <c r="L67" i="2"/>
  <c r="K67" i="2"/>
  <c r="C67" i="2"/>
  <c r="G67" i="2"/>
  <c r="D67" i="2"/>
  <c r="P66" i="2"/>
  <c r="O66" i="2"/>
  <c r="N66" i="2"/>
  <c r="M66" i="2"/>
  <c r="I66" i="2"/>
  <c r="J66" i="2"/>
  <c r="L66" i="2"/>
  <c r="K66" i="2"/>
  <c r="C66" i="2"/>
  <c r="G66" i="2"/>
  <c r="D66" i="2"/>
  <c r="P65" i="2"/>
  <c r="O65" i="2"/>
  <c r="N65" i="2"/>
  <c r="M65" i="2"/>
  <c r="I65" i="2"/>
  <c r="J65" i="2"/>
  <c r="L65" i="2"/>
  <c r="K65" i="2"/>
  <c r="C65" i="2"/>
  <c r="G65" i="2"/>
  <c r="D65" i="2"/>
  <c r="P64" i="2"/>
  <c r="O64" i="2"/>
  <c r="N64" i="2"/>
  <c r="M64" i="2"/>
  <c r="I64" i="2"/>
  <c r="J64" i="2"/>
  <c r="L64" i="2"/>
  <c r="K64" i="2"/>
  <c r="C64" i="2"/>
  <c r="G64" i="2"/>
  <c r="D64" i="2"/>
  <c r="P63" i="2"/>
  <c r="O63" i="2"/>
  <c r="N63" i="2"/>
  <c r="M63" i="2"/>
  <c r="I63" i="2"/>
  <c r="J63" i="2"/>
  <c r="L63" i="2"/>
  <c r="K63" i="2"/>
  <c r="C63" i="2"/>
  <c r="G63" i="2"/>
  <c r="D63" i="2"/>
  <c r="P62" i="2"/>
  <c r="O62" i="2"/>
  <c r="N62" i="2"/>
  <c r="M62" i="2"/>
  <c r="I62" i="2"/>
  <c r="J62" i="2"/>
  <c r="L62" i="2"/>
  <c r="K62" i="2"/>
  <c r="C62" i="2"/>
  <c r="G62" i="2"/>
  <c r="D62" i="2"/>
  <c r="P61" i="2"/>
  <c r="O61" i="2"/>
  <c r="N61" i="2"/>
  <c r="M61" i="2"/>
  <c r="I61" i="2"/>
  <c r="J61" i="2"/>
  <c r="L61" i="2"/>
  <c r="K61" i="2"/>
  <c r="C61" i="2"/>
  <c r="G61" i="2"/>
  <c r="D61" i="2"/>
  <c r="P60" i="2"/>
  <c r="O60" i="2"/>
  <c r="N60" i="2"/>
  <c r="M60" i="2"/>
  <c r="I60" i="2"/>
  <c r="J60" i="2"/>
  <c r="L60" i="2"/>
  <c r="K60" i="2"/>
  <c r="C60" i="2"/>
  <c r="G60" i="2"/>
  <c r="D60" i="2"/>
  <c r="P59" i="2"/>
  <c r="O59" i="2"/>
  <c r="N59" i="2"/>
  <c r="M59" i="2"/>
  <c r="I59" i="2"/>
  <c r="J59" i="2"/>
  <c r="L59" i="2"/>
  <c r="K59" i="2"/>
  <c r="C59" i="2"/>
  <c r="G59" i="2"/>
  <c r="D59" i="2"/>
  <c r="P58" i="2"/>
  <c r="O58" i="2"/>
  <c r="N58" i="2"/>
  <c r="M58" i="2"/>
  <c r="I58" i="2"/>
  <c r="J58" i="2"/>
  <c r="L58" i="2"/>
  <c r="K58" i="2"/>
  <c r="C58" i="2"/>
  <c r="G58" i="2"/>
  <c r="D58" i="2"/>
  <c r="P57" i="2"/>
  <c r="O57" i="2"/>
  <c r="N57" i="2"/>
  <c r="M57" i="2"/>
  <c r="I57" i="2"/>
  <c r="J57" i="2"/>
  <c r="L57" i="2"/>
  <c r="K57" i="2"/>
  <c r="C57" i="2"/>
  <c r="G57" i="2"/>
  <c r="D57" i="2"/>
  <c r="P56" i="2"/>
  <c r="O56" i="2"/>
  <c r="N56" i="2"/>
  <c r="M56" i="2"/>
  <c r="I56" i="2"/>
  <c r="J56" i="2"/>
  <c r="L56" i="2"/>
  <c r="K56" i="2"/>
  <c r="C56" i="2"/>
  <c r="G56" i="2"/>
  <c r="D56" i="2"/>
  <c r="P55" i="2"/>
  <c r="O55" i="2"/>
  <c r="N55" i="2"/>
  <c r="M55" i="2"/>
  <c r="I55" i="2"/>
  <c r="J55" i="2"/>
  <c r="L55" i="2"/>
  <c r="K55" i="2"/>
  <c r="C55" i="2"/>
  <c r="G55" i="2"/>
  <c r="D55" i="2"/>
  <c r="P54" i="2"/>
  <c r="O54" i="2"/>
  <c r="N54" i="2"/>
  <c r="M54" i="2"/>
  <c r="I54" i="2"/>
  <c r="J54" i="2"/>
  <c r="L54" i="2"/>
  <c r="K54" i="2"/>
  <c r="C54" i="2"/>
  <c r="G54" i="2"/>
  <c r="D54" i="2"/>
  <c r="P53" i="2"/>
  <c r="O53" i="2"/>
  <c r="N53" i="2"/>
  <c r="M53" i="2"/>
  <c r="I53" i="2"/>
  <c r="J53" i="2"/>
  <c r="L53" i="2"/>
  <c r="K53" i="2"/>
  <c r="C53" i="2"/>
  <c r="G53" i="2"/>
  <c r="D53" i="2"/>
  <c r="P52" i="2"/>
  <c r="O52" i="2"/>
  <c r="N52" i="2"/>
  <c r="M52" i="2"/>
  <c r="I52" i="2"/>
  <c r="J52" i="2"/>
  <c r="L52" i="2"/>
  <c r="K52" i="2"/>
  <c r="C52" i="2"/>
  <c r="G52" i="2"/>
  <c r="D52" i="2"/>
  <c r="P51" i="2"/>
  <c r="O51" i="2"/>
  <c r="N51" i="2"/>
  <c r="M51" i="2"/>
  <c r="I51" i="2"/>
  <c r="J51" i="2"/>
  <c r="L51" i="2"/>
  <c r="K51" i="2"/>
  <c r="C51" i="2"/>
  <c r="G51" i="2"/>
  <c r="D51" i="2"/>
  <c r="P50" i="2"/>
  <c r="O50" i="2"/>
  <c r="N50" i="2"/>
  <c r="M50" i="2"/>
  <c r="I50" i="2"/>
  <c r="J50" i="2"/>
  <c r="L50" i="2"/>
  <c r="K50" i="2"/>
  <c r="C50" i="2"/>
  <c r="G50" i="2"/>
  <c r="D50" i="2"/>
  <c r="P49" i="2"/>
  <c r="O49" i="2"/>
  <c r="N49" i="2"/>
  <c r="M49" i="2"/>
  <c r="I49" i="2"/>
  <c r="J49" i="2"/>
  <c r="L49" i="2"/>
  <c r="K49" i="2"/>
  <c r="C49" i="2"/>
  <c r="G49" i="2"/>
  <c r="D49" i="2"/>
  <c r="P48" i="2"/>
  <c r="O48" i="2"/>
  <c r="N48" i="2"/>
  <c r="M48" i="2"/>
  <c r="I48" i="2"/>
  <c r="J48" i="2"/>
  <c r="L48" i="2"/>
  <c r="K48" i="2"/>
  <c r="C48" i="2"/>
  <c r="G48" i="2"/>
  <c r="D48" i="2"/>
  <c r="P47" i="2"/>
  <c r="O47" i="2"/>
  <c r="N47" i="2"/>
  <c r="M47" i="2"/>
  <c r="I47" i="2"/>
  <c r="J47" i="2"/>
  <c r="L47" i="2"/>
  <c r="K47" i="2"/>
  <c r="C47" i="2"/>
  <c r="G47" i="2"/>
  <c r="D47" i="2"/>
  <c r="P46" i="2"/>
  <c r="O46" i="2"/>
  <c r="N46" i="2"/>
  <c r="M46" i="2"/>
  <c r="I46" i="2"/>
  <c r="J46" i="2"/>
  <c r="L46" i="2"/>
  <c r="K46" i="2"/>
  <c r="C46" i="2"/>
  <c r="G46" i="2"/>
  <c r="D46" i="2"/>
  <c r="P45" i="2"/>
  <c r="O45" i="2"/>
  <c r="N45" i="2"/>
  <c r="M45" i="2"/>
  <c r="I45" i="2"/>
  <c r="J45" i="2"/>
  <c r="L45" i="2"/>
  <c r="K45" i="2"/>
  <c r="C45" i="2"/>
  <c r="G45" i="2"/>
  <c r="D45" i="2"/>
  <c r="P44" i="2"/>
  <c r="O44" i="2"/>
  <c r="N44" i="2"/>
  <c r="M44" i="2"/>
  <c r="I44" i="2"/>
  <c r="J44" i="2"/>
  <c r="L44" i="2"/>
  <c r="K44" i="2"/>
  <c r="C44" i="2"/>
  <c r="G44" i="2"/>
  <c r="D44" i="2"/>
  <c r="P43" i="2"/>
  <c r="O43" i="2"/>
  <c r="N43" i="2"/>
  <c r="M43" i="2"/>
  <c r="I43" i="2"/>
  <c r="J43" i="2"/>
  <c r="L43" i="2"/>
  <c r="K43" i="2"/>
  <c r="C43" i="2"/>
  <c r="G43" i="2"/>
  <c r="D43" i="2"/>
  <c r="P42" i="2"/>
  <c r="O42" i="2"/>
  <c r="N42" i="2"/>
  <c r="M42" i="2"/>
  <c r="I42" i="2"/>
  <c r="J42" i="2"/>
  <c r="L42" i="2"/>
  <c r="K42" i="2"/>
  <c r="C42" i="2"/>
  <c r="G42" i="2"/>
  <c r="D42" i="2"/>
  <c r="P41" i="2"/>
  <c r="O41" i="2"/>
  <c r="N41" i="2"/>
  <c r="M41" i="2"/>
  <c r="I41" i="2"/>
  <c r="J41" i="2"/>
  <c r="L41" i="2"/>
  <c r="K41" i="2"/>
  <c r="C41" i="2"/>
  <c r="G41" i="2"/>
  <c r="D41" i="2"/>
  <c r="P40" i="2"/>
  <c r="O40" i="2"/>
  <c r="N40" i="2"/>
  <c r="M40" i="2"/>
  <c r="I40" i="2"/>
  <c r="J40" i="2"/>
  <c r="L40" i="2"/>
  <c r="K40" i="2"/>
  <c r="C40" i="2"/>
  <c r="G40" i="2"/>
  <c r="D40" i="2"/>
  <c r="P39" i="2"/>
  <c r="O39" i="2"/>
  <c r="N39" i="2"/>
  <c r="M39" i="2"/>
  <c r="I39" i="2"/>
  <c r="J39" i="2"/>
  <c r="L39" i="2"/>
  <c r="K39" i="2"/>
  <c r="C39" i="2"/>
  <c r="G39" i="2"/>
  <c r="D39" i="2"/>
  <c r="P38" i="2"/>
  <c r="O38" i="2"/>
  <c r="N38" i="2"/>
  <c r="M38" i="2"/>
  <c r="I38" i="2"/>
  <c r="J38" i="2"/>
  <c r="L38" i="2"/>
  <c r="K38" i="2"/>
  <c r="C38" i="2"/>
  <c r="G38" i="2"/>
  <c r="D38" i="2"/>
  <c r="P37" i="2"/>
  <c r="O37" i="2"/>
  <c r="N37" i="2"/>
  <c r="M37" i="2"/>
  <c r="I37" i="2"/>
  <c r="J37" i="2"/>
  <c r="L37" i="2"/>
  <c r="K37" i="2"/>
  <c r="C37" i="2"/>
  <c r="G37" i="2"/>
  <c r="D37" i="2"/>
  <c r="P36" i="2"/>
  <c r="O36" i="2"/>
  <c r="N36" i="2"/>
  <c r="M36" i="2"/>
  <c r="I36" i="2"/>
  <c r="J36" i="2"/>
  <c r="L36" i="2"/>
  <c r="K36" i="2"/>
  <c r="C36" i="2"/>
  <c r="G36" i="2"/>
  <c r="D36" i="2"/>
  <c r="P35" i="2"/>
  <c r="O35" i="2"/>
  <c r="N35" i="2"/>
  <c r="M35" i="2"/>
  <c r="I35" i="2"/>
  <c r="J35" i="2"/>
  <c r="L35" i="2"/>
  <c r="K35" i="2"/>
  <c r="C35" i="2"/>
  <c r="G35" i="2"/>
  <c r="D35" i="2"/>
  <c r="P34" i="2"/>
  <c r="O34" i="2"/>
  <c r="N34" i="2"/>
  <c r="M34" i="2"/>
  <c r="I34" i="2"/>
  <c r="J34" i="2"/>
  <c r="L34" i="2"/>
  <c r="K34" i="2"/>
  <c r="C34" i="2"/>
  <c r="G34" i="2"/>
  <c r="D34" i="2"/>
  <c r="P33" i="2"/>
  <c r="O33" i="2"/>
  <c r="N33" i="2"/>
  <c r="M33" i="2"/>
  <c r="I33" i="2"/>
  <c r="J33" i="2"/>
  <c r="L33" i="2"/>
  <c r="K33" i="2"/>
  <c r="C33" i="2"/>
  <c r="G33" i="2"/>
  <c r="D33" i="2"/>
  <c r="P32" i="2"/>
  <c r="O32" i="2"/>
  <c r="N32" i="2"/>
  <c r="M32" i="2"/>
  <c r="I32" i="2"/>
  <c r="J32" i="2"/>
  <c r="L32" i="2"/>
  <c r="K32" i="2"/>
  <c r="C32" i="2"/>
  <c r="G32" i="2"/>
  <c r="D32" i="2"/>
  <c r="P31" i="2"/>
  <c r="O31" i="2"/>
  <c r="N31" i="2"/>
  <c r="M31" i="2"/>
  <c r="I31" i="2"/>
  <c r="J31" i="2"/>
  <c r="L31" i="2"/>
  <c r="K31" i="2"/>
  <c r="C31" i="2"/>
  <c r="G31" i="2"/>
  <c r="D31" i="2"/>
  <c r="P30" i="2"/>
  <c r="O30" i="2"/>
  <c r="N30" i="2"/>
  <c r="M30" i="2"/>
  <c r="I30" i="2"/>
  <c r="J30" i="2"/>
  <c r="L30" i="2"/>
  <c r="K30" i="2"/>
  <c r="C30" i="2"/>
  <c r="G30" i="2"/>
  <c r="D30" i="2"/>
  <c r="P29" i="2"/>
  <c r="O29" i="2"/>
  <c r="N29" i="2"/>
  <c r="M29" i="2"/>
  <c r="I29" i="2"/>
  <c r="J29" i="2"/>
  <c r="L29" i="2"/>
  <c r="K29" i="2"/>
  <c r="C29" i="2"/>
  <c r="G29" i="2"/>
  <c r="D29" i="2"/>
  <c r="P28" i="2"/>
  <c r="O28" i="2"/>
  <c r="N28" i="2"/>
  <c r="M28" i="2"/>
  <c r="I28" i="2"/>
  <c r="J28" i="2"/>
  <c r="L28" i="2"/>
  <c r="K28" i="2"/>
  <c r="C28" i="2"/>
  <c r="G28" i="2"/>
  <c r="D28" i="2"/>
  <c r="P27" i="2"/>
  <c r="O27" i="2"/>
  <c r="N27" i="2"/>
  <c r="M27" i="2"/>
  <c r="I27" i="2"/>
  <c r="J27" i="2"/>
  <c r="L27" i="2"/>
  <c r="K27" i="2"/>
  <c r="C27" i="2"/>
  <c r="G27" i="2"/>
  <c r="D27" i="2"/>
  <c r="P26" i="2"/>
  <c r="O26" i="2"/>
  <c r="N26" i="2"/>
  <c r="M26" i="2"/>
  <c r="I26" i="2"/>
  <c r="J26" i="2"/>
  <c r="L26" i="2"/>
  <c r="K26" i="2"/>
  <c r="C26" i="2"/>
  <c r="G26" i="2"/>
  <c r="D26" i="2"/>
  <c r="P25" i="2"/>
  <c r="O25" i="2"/>
  <c r="N25" i="2"/>
  <c r="M25" i="2"/>
  <c r="I25" i="2"/>
  <c r="J25" i="2"/>
  <c r="L25" i="2"/>
  <c r="K25" i="2"/>
  <c r="G25" i="2"/>
  <c r="P24" i="2"/>
  <c r="O24" i="2"/>
  <c r="N24" i="2"/>
  <c r="M24" i="2"/>
  <c r="I24" i="2"/>
  <c r="J24" i="2"/>
  <c r="L24" i="2"/>
  <c r="K24" i="2"/>
  <c r="C24" i="2"/>
  <c r="G24" i="2"/>
  <c r="D24" i="2"/>
  <c r="P23" i="2"/>
  <c r="O23" i="2"/>
  <c r="N23" i="2"/>
  <c r="M23" i="2"/>
  <c r="I23" i="2"/>
  <c r="J23" i="2"/>
  <c r="L23" i="2"/>
  <c r="K23" i="2"/>
  <c r="C23" i="2"/>
  <c r="G23" i="2"/>
  <c r="D23" i="2"/>
  <c r="P22" i="2"/>
  <c r="O22" i="2"/>
  <c r="N22" i="2"/>
  <c r="M22" i="2"/>
  <c r="I22" i="2"/>
  <c r="J22" i="2"/>
  <c r="L22" i="2"/>
  <c r="K22" i="2"/>
  <c r="C22" i="2"/>
  <c r="G22" i="2"/>
  <c r="D22" i="2"/>
  <c r="P21" i="2"/>
  <c r="O21" i="2"/>
  <c r="N21" i="2"/>
  <c r="M21" i="2"/>
  <c r="I21" i="2"/>
  <c r="J21" i="2"/>
  <c r="L21" i="2"/>
  <c r="K21" i="2"/>
  <c r="C21" i="2"/>
  <c r="G21" i="2"/>
  <c r="D21" i="2"/>
  <c r="C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0" authorId="0" shapeId="0" xr:uid="{00000000-0006-0000-0100-000001000000}">
      <text>
        <r>
          <rPr>
            <sz val="11"/>
            <rFont val="Calibri"/>
            <scheme val="minor"/>
          </rPr>
          <t xml:space="preserve">M.V.: Múltiplo de Vendas
</t>
        </r>
      </text>
    </comment>
  </commentList>
</comments>
</file>

<file path=xl/sharedStrings.xml><?xml version="1.0" encoding="utf-8"?>
<sst xmlns="http://schemas.openxmlformats.org/spreadsheetml/2006/main" count="840" uniqueCount="687">
  <si>
    <t xml:space="preserve">                      Aviso Importante</t>
  </si>
  <si>
    <t>Região de SP desconsiderar a coluna de ST da aba pedidos</t>
  </si>
  <si>
    <t xml:space="preserve">                                 Essa planilha não é válida para clientes do Simples Nacional</t>
  </si>
  <si>
    <t>À Vista</t>
  </si>
  <si>
    <t>AC</t>
  </si>
  <si>
    <t>AL</t>
  </si>
  <si>
    <t>AM</t>
  </si>
  <si>
    <t>AP</t>
  </si>
  <si>
    <t>RO</t>
  </si>
  <si>
    <t>BA</t>
  </si>
  <si>
    <t>CE</t>
  </si>
  <si>
    <t xml:space="preserve"> Inserir 20% de desconto em todos os itens</t>
  </si>
  <si>
    <t>DF</t>
  </si>
  <si>
    <t>R$ 3.000,00: pequeno e médio varejo</t>
  </si>
  <si>
    <t>ES</t>
  </si>
  <si>
    <t>R$ 5.000,00: supermercados e grandes redes</t>
  </si>
  <si>
    <t>Observação do pedido: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</si>
  <si>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</si>
  <si>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</si>
  <si>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</si>
  <si>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</si>
  <si>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</si>
  <si>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</si>
  <si>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</si>
  <si>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</si>
  <si>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</si>
  <si>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CÓDIGO PRODUTO</t>
  </si>
  <si>
    <t>DESCRIÇÃO</t>
  </si>
  <si>
    <t>M.V.</t>
  </si>
  <si>
    <t>COR</t>
  </si>
  <si>
    <t>QTDE</t>
  </si>
  <si>
    <t>PREÇO TABELA</t>
  </si>
  <si>
    <t>DESC.</t>
  </si>
  <si>
    <t>PREÇO UNI.</t>
  </si>
  <si>
    <t>IPI</t>
  </si>
  <si>
    <t>ST</t>
  </si>
  <si>
    <t>PREÇO C/ IPI</t>
  </si>
  <si>
    <t>PREÇO C/ ST</t>
  </si>
  <si>
    <t>VALOR LÍQ.</t>
  </si>
  <si>
    <t>VALOR BRUTO</t>
  </si>
  <si>
    <t>NCM</t>
  </si>
  <si>
    <t>RJ</t>
  </si>
  <si>
    <t>SP</t>
  </si>
  <si>
    <t>TO</t>
  </si>
  <si>
    <t/>
  </si>
  <si>
    <t>L</t>
  </si>
  <si>
    <t>PREÇOS UNITÁRIOS</t>
  </si>
  <si>
    <t>Referência</t>
  </si>
  <si>
    <t>Descrição</t>
  </si>
  <si>
    <t>EMB.</t>
  </si>
  <si>
    <t>RS</t>
  </si>
  <si>
    <t xml:space="preserve">CAIXA RETANGULAR 3,5 L.       </t>
  </si>
  <si>
    <t xml:space="preserve">CAIXA RETANGULAR 6,5 L.       </t>
  </si>
  <si>
    <t xml:space="preserve">CAIXA RETANGULAR 11 L.        </t>
  </si>
  <si>
    <t xml:space="preserve">BACIA REDONDA 2,5 L.          </t>
  </si>
  <si>
    <t xml:space="preserve">BACIA REDONDA 5,5 L.          </t>
  </si>
  <si>
    <t xml:space="preserve">BACIA REDONDA 11 L.           </t>
  </si>
  <si>
    <t xml:space="preserve">BACIA REDONDA 19,5 L.         </t>
  </si>
  <si>
    <t xml:space="preserve">BACIA LISA 2,5 L              </t>
  </si>
  <si>
    <t xml:space="preserve">BALDE 8.0 LTS.                </t>
  </si>
  <si>
    <t>160LP</t>
  </si>
  <si>
    <t xml:space="preserve">BALDE RECYCLE 8L.             </t>
  </si>
  <si>
    <t xml:space="preserve">BALDE 16 LTS.                 </t>
  </si>
  <si>
    <t xml:space="preserve">BALDE 10 LTS.                 </t>
  </si>
  <si>
    <t>163LP</t>
  </si>
  <si>
    <t xml:space="preserve">BALDE RECYCLE 1OL.            </t>
  </si>
  <si>
    <t xml:space="preserve">LIXAO 97 LITROS.              </t>
  </si>
  <si>
    <t>164AM</t>
  </si>
  <si>
    <t xml:space="preserve">LIXEIRA 97 LITROS AMARELA     </t>
  </si>
  <si>
    <t>164AZ</t>
  </si>
  <si>
    <t xml:space="preserve">LIXEIRA 97 LITROS AZUL.       </t>
  </si>
  <si>
    <t>164LP</t>
  </si>
  <si>
    <t xml:space="preserve">LIXEIRA 97 LITROS PRETO.      </t>
  </si>
  <si>
    <t>164VD</t>
  </si>
  <si>
    <t xml:space="preserve">LIXEIRA 97 LITROS VERDE.      </t>
  </si>
  <si>
    <t>164VM</t>
  </si>
  <si>
    <t xml:space="preserve">LIXEIRA 97 LITROS VERMELH     </t>
  </si>
  <si>
    <t xml:space="preserve">CESTO PARA ROUPAS 35 L.       </t>
  </si>
  <si>
    <t>167LP</t>
  </si>
  <si>
    <t xml:space="preserve">BALDE 20 LITROS.              </t>
  </si>
  <si>
    <t xml:space="preserve">LIXEIRA BASCULANTE P/PIA.     </t>
  </si>
  <si>
    <t xml:space="preserve">LIXEIRA P/ PIA.               </t>
  </si>
  <si>
    <t xml:space="preserve">CESTO P/ PAPEL.               </t>
  </si>
  <si>
    <t xml:space="preserve">LIXEIRA 35 LITROS.            </t>
  </si>
  <si>
    <t xml:space="preserve">LIXEIRA 62 LITROS.            </t>
  </si>
  <si>
    <t xml:space="preserve">LIXEIRA BASCULANTE 12 LTR     </t>
  </si>
  <si>
    <t xml:space="preserve">LIXEIRA C/PEDAL 13 LITROS     </t>
  </si>
  <si>
    <t xml:space="preserve">LIXEIRA C/PEDAL 6,5L          </t>
  </si>
  <si>
    <t xml:space="preserve">LIXEIRA RETRATIL 1,4 L.       </t>
  </si>
  <si>
    <t xml:space="preserve">LIXEIRA RETRATIL 4,1 L.       </t>
  </si>
  <si>
    <t xml:space="preserve">POTE HERMETICO 0,5 L.         </t>
  </si>
  <si>
    <t xml:space="preserve">POTE HERMETICO 0,8 L.         </t>
  </si>
  <si>
    <t xml:space="preserve">POTE HERMETICO 1,4 L.         </t>
  </si>
  <si>
    <t xml:space="preserve">LIXEIRA RETRATIL 7,3 L.       </t>
  </si>
  <si>
    <t xml:space="preserve">JARRA 1,75 L.                 </t>
  </si>
  <si>
    <t xml:space="preserve">JARRA 1 L.                    </t>
  </si>
  <si>
    <t xml:space="preserve">JARRA 2 L.                    </t>
  </si>
  <si>
    <t xml:space="preserve">JARRA GRADUADA 1L PLASVAL     </t>
  </si>
  <si>
    <t xml:space="preserve">RALADOR 4 FACES.              </t>
  </si>
  <si>
    <t xml:space="preserve">LAVA TUDO.                    </t>
  </si>
  <si>
    <t xml:space="preserve">KIT 2 POTES BIOVITA 4,75L     </t>
  </si>
  <si>
    <t xml:space="preserve">POTE REDONDO HERM.1.0L.       </t>
  </si>
  <si>
    <t xml:space="preserve">POTE REDONDO HERM.1.9L.       </t>
  </si>
  <si>
    <t xml:space="preserve">POTE REDONDO HERM.3,2L.       </t>
  </si>
  <si>
    <t xml:space="preserve">POTE REDONDO HERM.4.75L.      </t>
  </si>
  <si>
    <t xml:space="preserve">POTE REDONDO HERM.7.5L.       </t>
  </si>
  <si>
    <t xml:space="preserve">POTE HERMETICO 1.0L.          </t>
  </si>
  <si>
    <t xml:space="preserve">ORGANIZADOR 12,5 LITROS.      </t>
  </si>
  <si>
    <t>293OC</t>
  </si>
  <si>
    <t xml:space="preserve">ORGANIZADOR 38 LITROS.        </t>
  </si>
  <si>
    <t>295OC</t>
  </si>
  <si>
    <t xml:space="preserve">POTE FREEZER/MICROONDAS 1     </t>
  </si>
  <si>
    <t>301BK</t>
  </si>
  <si>
    <t xml:space="preserve">POTE FREEZER/MICROONDAS 2     </t>
  </si>
  <si>
    <t xml:space="preserve">POTE FREEZER/MICROONDAS 3     </t>
  </si>
  <si>
    <t xml:space="preserve">POTE FREEZER/MICROONDAS 0     </t>
  </si>
  <si>
    <t xml:space="preserve">POTE MARMITA WAVE 1,2L.       </t>
  </si>
  <si>
    <t xml:space="preserve">BACIA CANELADA 2,5 L.         </t>
  </si>
  <si>
    <t xml:space="preserve">BACIA CANELADA 4,9 L.         </t>
  </si>
  <si>
    <t xml:space="preserve">BACIA CANELADA 8 L.           </t>
  </si>
  <si>
    <t xml:space="preserve">BACIA CANELADA 13,5 L.        </t>
  </si>
  <si>
    <t>354LP</t>
  </si>
  <si>
    <t xml:space="preserve">BACIA CANELADA 34 L.          </t>
  </si>
  <si>
    <t>355LP</t>
  </si>
  <si>
    <t xml:space="preserve">BALDE 8.0 LTS 2 BICOS.        </t>
  </si>
  <si>
    <t xml:space="preserve">PULVERIZADOR MULTIUSO.        </t>
  </si>
  <si>
    <t>375LP</t>
  </si>
  <si>
    <t xml:space="preserve">LIXEIRA RECYCLE 35L.          </t>
  </si>
  <si>
    <t>377LP</t>
  </si>
  <si>
    <t xml:space="preserve">LIXEIRA RECYCLE 62L           </t>
  </si>
  <si>
    <t xml:space="preserve">SALEIRO DE MESA               </t>
  </si>
  <si>
    <t xml:space="preserve">PALITEIRO                     </t>
  </si>
  <si>
    <t xml:space="preserve">KIT 3 BISNAGA 0,250ML         </t>
  </si>
  <si>
    <t xml:space="preserve">TABUA RETANGULAR P/CORTE.     </t>
  </si>
  <si>
    <t xml:space="preserve">BISNAGA 250ML                 </t>
  </si>
  <si>
    <t xml:space="preserve">CONJ.5 POTES QUADRADOS.       </t>
  </si>
  <si>
    <t xml:space="preserve">POTE 0,5L                     </t>
  </si>
  <si>
    <t xml:space="preserve">POTE 1,3L                     </t>
  </si>
  <si>
    <t xml:space="preserve">POTE 2,3L                     </t>
  </si>
  <si>
    <t xml:space="preserve">POTE 4,5L                     </t>
  </si>
  <si>
    <t xml:space="preserve">POTE 8L                       </t>
  </si>
  <si>
    <t xml:space="preserve">FEIRINHA 90 ITENS.            </t>
  </si>
  <si>
    <t xml:space="preserve">ESCORREDOR LOUCAS.            </t>
  </si>
  <si>
    <t xml:space="preserve">BANDEJA MULTI-USO.            </t>
  </si>
  <si>
    <t xml:space="preserve">BANDEJA EUROPA.               </t>
  </si>
  <si>
    <t xml:space="preserve">ESPREMEDOR DE FRUTAS 0,5      </t>
  </si>
  <si>
    <t>517LP</t>
  </si>
  <si>
    <t xml:space="preserve">CESTO RECYCLE 55L.            </t>
  </si>
  <si>
    <t xml:space="preserve">LAVADOR ARROZ.                </t>
  </si>
  <si>
    <t xml:space="preserve">BANDEJA 2,2 L.                </t>
  </si>
  <si>
    <t xml:space="preserve">BANDEJA 7 L.                  </t>
  </si>
  <si>
    <t xml:space="preserve">BANDEJA RETANGULAR 17L        </t>
  </si>
  <si>
    <t xml:space="preserve">PA PARA LIXO.                 </t>
  </si>
  <si>
    <t xml:space="preserve">SABONETEIRA P/VIAGEM.         </t>
  </si>
  <si>
    <t xml:space="preserve">FARINHEIRA/ACUCAREIRO 0,9     </t>
  </si>
  <si>
    <t>542CA</t>
  </si>
  <si>
    <t xml:space="preserve">POTE DECOR CAFE.              </t>
  </si>
  <si>
    <t>542AC</t>
  </si>
  <si>
    <t xml:space="preserve">POTE DECOR ACUCAR.            </t>
  </si>
  <si>
    <t>543MA</t>
  </si>
  <si>
    <t xml:space="preserve">POTE DECOR MATE PLASVALE      </t>
  </si>
  <si>
    <t xml:space="preserve">POTE FREEZER/MICROONDAS 4     </t>
  </si>
  <si>
    <t xml:space="preserve">POTE FREEZER/MICROONDAS 7     </t>
  </si>
  <si>
    <t xml:space="preserve">POTE 1,25 LTS.                </t>
  </si>
  <si>
    <t xml:space="preserve">SANDUICHEIRA                  </t>
  </si>
  <si>
    <t>612DC</t>
  </si>
  <si>
    <t xml:space="preserve">SANDUICHEIRA PLASVALE DEC     </t>
  </si>
  <si>
    <t xml:space="preserve">GARRAFA 1L.                   </t>
  </si>
  <si>
    <t xml:space="preserve">GARRAFA 2 L                   </t>
  </si>
  <si>
    <t>618.</t>
  </si>
  <si>
    <t xml:space="preserve">POTE C/ROSCA PLASW.N.1.       </t>
  </si>
  <si>
    <t xml:space="preserve">POTE C/ROSCA PLASW.N.2        </t>
  </si>
  <si>
    <t xml:space="preserve">POTE C/ROSCA PLASW.N.3        </t>
  </si>
  <si>
    <t xml:space="preserve">CONJ. 3 POTES QUADRADOS       </t>
  </si>
  <si>
    <t xml:space="preserve">PENEIRA PEQUENA.              </t>
  </si>
  <si>
    <t xml:space="preserve">PENEIRA MEDIA.                </t>
  </si>
  <si>
    <t xml:space="preserve">PENEIRA GRANDE.               </t>
  </si>
  <si>
    <t xml:space="preserve">PORTA TALHERES S/T.           </t>
  </si>
  <si>
    <t xml:space="preserve">PORTA TALHERES C/T.           </t>
  </si>
  <si>
    <t xml:space="preserve">SALEIRO 1 LT.                 </t>
  </si>
  <si>
    <t xml:space="preserve">TABUA P/ CORTE.               </t>
  </si>
  <si>
    <t xml:space="preserve">PORTA SABAO.                  </t>
  </si>
  <si>
    <t xml:space="preserve">JARRA 3 LTS C/ TAMPA.         </t>
  </si>
  <si>
    <t xml:space="preserve">FORMA P/ GELO.                </t>
  </si>
  <si>
    <t xml:space="preserve">FORMAS P/GEL.EXT.FLEXIVEL     </t>
  </si>
  <si>
    <t>737LP</t>
  </si>
  <si>
    <t xml:space="preserve">CESTO P/ROUPAS 35 LTS.        </t>
  </si>
  <si>
    <t xml:space="preserve">LIXEIRA BASCULANTE 50L.       </t>
  </si>
  <si>
    <t>757AM</t>
  </si>
  <si>
    <t xml:space="preserve">LIXEIRA 50 LITROS AMARELO     </t>
  </si>
  <si>
    <t>757AZ</t>
  </si>
  <si>
    <t xml:space="preserve">LIXEIRA 50 LITROS AZUL.       </t>
  </si>
  <si>
    <t>757CZ</t>
  </si>
  <si>
    <t xml:space="preserve">LIXEIRA 50 LITROS CINZA.      </t>
  </si>
  <si>
    <t>757LA</t>
  </si>
  <si>
    <t xml:space="preserve">LIXEIRA 50 LITROS LARANJA     </t>
  </si>
  <si>
    <t>757LP</t>
  </si>
  <si>
    <t xml:space="preserve">LIXEIRA 50 LITROS             </t>
  </si>
  <si>
    <t>757MR</t>
  </si>
  <si>
    <t xml:space="preserve">LIXEIRA 50 LITROS MARROM.     </t>
  </si>
  <si>
    <t>757VD</t>
  </si>
  <si>
    <t xml:space="preserve">LIXEIRA 50 LITROS VERDE.      </t>
  </si>
  <si>
    <t>757VM</t>
  </si>
  <si>
    <t xml:space="preserve">LIXEIRA 50 LITROS VERMELH     </t>
  </si>
  <si>
    <t>757TT</t>
  </si>
  <si>
    <t xml:space="preserve">TAMPA MOVEL LIXEIRA 50L.      </t>
  </si>
  <si>
    <t xml:space="preserve">BALDE REFORCADO 11 LITROS     </t>
  </si>
  <si>
    <t xml:space="preserve">COMEDOURO DUPLO 0,8 L.        </t>
  </si>
  <si>
    <t xml:space="preserve">COMEDOURO PEQUENO 0,5 L.      </t>
  </si>
  <si>
    <t xml:space="preserve">COMEDOURO MEDIO 1 L.          </t>
  </si>
  <si>
    <t xml:space="preserve">KIT 3 PENEIRAS                </t>
  </si>
  <si>
    <t xml:space="preserve">EXPO SEXTAVADO ARAMADO        </t>
  </si>
  <si>
    <t xml:space="preserve">CONJ.JARRA 203/4 COPOS.       </t>
  </si>
  <si>
    <t xml:space="preserve">TAPETE REDONDO.               </t>
  </si>
  <si>
    <t xml:space="preserve">TAPETE RETANGULAR.            </t>
  </si>
  <si>
    <t xml:space="preserve">GARRAFA 1,5 LTS.              </t>
  </si>
  <si>
    <t xml:space="preserve">COPO GRADUADO 580ML.          </t>
  </si>
  <si>
    <t xml:space="preserve">SUPORTE P/ 3 LIX. SELETIV     </t>
  </si>
  <si>
    <t xml:space="preserve">SUPORTE P/ 4 LIX. SELETIV     </t>
  </si>
  <si>
    <t xml:space="preserve">SUPORTE P/ 5 LIXEIRAS         </t>
  </si>
  <si>
    <t xml:space="preserve">ORGANIZADOR 16,6 LTRS.        </t>
  </si>
  <si>
    <t>1212OC</t>
  </si>
  <si>
    <t xml:space="preserve">ORGANIZADOR 30 LITROS.        </t>
  </si>
  <si>
    <t xml:space="preserve">ORGANIZADOR 50 LITROS.        </t>
  </si>
  <si>
    <t>1214OC</t>
  </si>
  <si>
    <t xml:space="preserve">POTE 400ML                    </t>
  </si>
  <si>
    <t xml:space="preserve">POTE 750ML                    </t>
  </si>
  <si>
    <t xml:space="preserve">POTE 1 LITRO                  </t>
  </si>
  <si>
    <t xml:space="preserve">FUNIL PEQUENO.                </t>
  </si>
  <si>
    <t xml:space="preserve">FUNIL MEDIO                   </t>
  </si>
  <si>
    <t xml:space="preserve">FUNIL GRANDE                  </t>
  </si>
  <si>
    <t xml:space="preserve">TÁBUA DE CORTE PROFISSION     </t>
  </si>
  <si>
    <t xml:space="preserve">TABUA DE CORTE PROFISSION     </t>
  </si>
  <si>
    <t xml:space="preserve">FEIRINHA 75 PCS.              </t>
  </si>
  <si>
    <t xml:space="preserve">SUPORTE P/ 2 LIXEIRAS         </t>
  </si>
  <si>
    <t xml:space="preserve">LIXEIRA BASCULANTE 10L.       </t>
  </si>
  <si>
    <t>1241LP</t>
  </si>
  <si>
    <t xml:space="preserve">LIXEIRA BASCULANTE 14L.       </t>
  </si>
  <si>
    <t>1242LP</t>
  </si>
  <si>
    <t xml:space="preserve">LIXEIRA BASCULANTE 30L.       </t>
  </si>
  <si>
    <t>1243AM</t>
  </si>
  <si>
    <t xml:space="preserve">LIXEIRA 30L AMARELA           </t>
  </si>
  <si>
    <t>1243AZ</t>
  </si>
  <si>
    <t xml:space="preserve">LIXEIRA 30L AZUL              </t>
  </si>
  <si>
    <t>1243CZ</t>
  </si>
  <si>
    <t xml:space="preserve">LIXEIRA 30L CINZA.            </t>
  </si>
  <si>
    <t>1243LA</t>
  </si>
  <si>
    <t xml:space="preserve">LIXEIRA 30L LARANJA           </t>
  </si>
  <si>
    <t>1243LP</t>
  </si>
  <si>
    <t>1243MR</t>
  </si>
  <si>
    <t xml:space="preserve">LIXEIRA 30L MARROM            </t>
  </si>
  <si>
    <t>1243VD</t>
  </si>
  <si>
    <t xml:space="preserve">LIXEIRA 30L VERDE             </t>
  </si>
  <si>
    <t>1243VM</t>
  </si>
  <si>
    <t xml:space="preserve">LIXEIRA 30L VERMELHA          </t>
  </si>
  <si>
    <t xml:space="preserve">CAIXA EMPILHAVEL 10L COM      </t>
  </si>
  <si>
    <t xml:space="preserve">CAIXA EMPILHAVEL 15L COM      </t>
  </si>
  <si>
    <t xml:space="preserve">CAIXA EMPILHA. 24,5L COM      </t>
  </si>
  <si>
    <t xml:space="preserve">BISNAGA GRANDE 400ml          </t>
  </si>
  <si>
    <t xml:space="preserve">TAMPA PARA MICROONDAS         </t>
  </si>
  <si>
    <t xml:space="preserve">CAIXA SEM TAMPA 10L           </t>
  </si>
  <si>
    <t xml:space="preserve">CAIXA SEM TAMPA 15L           </t>
  </si>
  <si>
    <t xml:space="preserve">CAIXA SEM TAMPA 24,5L         </t>
  </si>
  <si>
    <t xml:space="preserve">KIT CABIDE 6 PCS              </t>
  </si>
  <si>
    <t xml:space="preserve">CESTO TELADO RETANGULAR 4     </t>
  </si>
  <si>
    <t xml:space="preserve">LIXEIRA C/PEDAL 50L.          </t>
  </si>
  <si>
    <t>1290LP</t>
  </si>
  <si>
    <t xml:space="preserve">LIXEIRA C/PEDAL  15L          </t>
  </si>
  <si>
    <t>1291LP</t>
  </si>
  <si>
    <t xml:space="preserve">PORTA ESCOVA DE DENTES        </t>
  </si>
  <si>
    <t xml:space="preserve">SABONETEIRA LIQUIDA           </t>
  </si>
  <si>
    <t>1333DC</t>
  </si>
  <si>
    <t xml:space="preserve">COPO 580ML DECOR              </t>
  </si>
  <si>
    <t>1333SG</t>
  </si>
  <si>
    <t xml:space="preserve">COPO 580ML DECORADO SIGNO     </t>
  </si>
  <si>
    <t xml:space="preserve">TAPETE RETANGULAR             </t>
  </si>
  <si>
    <t xml:space="preserve">TAPETE OVAL                   </t>
  </si>
  <si>
    <t xml:space="preserve">BALDE 11 LTS.                 </t>
  </si>
  <si>
    <t xml:space="preserve">POTE CRISTAL 0,55L QUADRA     </t>
  </si>
  <si>
    <t xml:space="preserve">POTE CRISTAL 1L QUADRADO.     </t>
  </si>
  <si>
    <t xml:space="preserve">POTE CRISTAL 1,7L QUADRAD     </t>
  </si>
  <si>
    <t xml:space="preserve">KIT 3 POTES CRISTAL           </t>
  </si>
  <si>
    <t xml:space="preserve">KIT 3P.CRISTAL 1400/1401/     </t>
  </si>
  <si>
    <t xml:space="preserve">KIT 3P.BIOVITA 241/242/24     </t>
  </si>
  <si>
    <t xml:space="preserve">JARRA COM MEXEDOR.            </t>
  </si>
  <si>
    <t xml:space="preserve">POTE MARMITA COM TALHER.      </t>
  </si>
  <si>
    <t xml:space="preserve">POTE MARMITA SEM TALHER       </t>
  </si>
  <si>
    <t xml:space="preserve">KIT 03 POTES 191 CANDY CO     </t>
  </si>
  <si>
    <t xml:space="preserve">KIT 03 POTES 192 CANDY CO     </t>
  </si>
  <si>
    <t xml:space="preserve">KIT 02 POTES 271              </t>
  </si>
  <si>
    <t xml:space="preserve">KIT 03 POTES 311 WAVE         </t>
  </si>
  <si>
    <t xml:space="preserve">KIT 03 POTES 562 WAVE         </t>
  </si>
  <si>
    <t xml:space="preserve">KIT 03 POTES 301 WAVE         </t>
  </si>
  <si>
    <t xml:space="preserve">HAMBURGUEIRA                  </t>
  </si>
  <si>
    <t xml:space="preserve">OMELETEIRA                    </t>
  </si>
  <si>
    <t xml:space="preserve">POTE REDONDO CRISTAL 0,55     </t>
  </si>
  <si>
    <t xml:space="preserve">POTE REDONDO CRISTAL 1L       </t>
  </si>
  <si>
    <t xml:space="preserve">POTE REDONDO CRISTAL 1,7L     </t>
  </si>
  <si>
    <t xml:space="preserve">POTE MARMITA 4 DIVISORIAS     </t>
  </si>
  <si>
    <t xml:space="preserve">KIT 3P. CRISTAL 1450/1451     </t>
  </si>
  <si>
    <t xml:space="preserve">KIT 3 POTES CRISTAL 0,55L     </t>
  </si>
  <si>
    <t>1460DC</t>
  </si>
  <si>
    <t xml:space="preserve">SABONETEIRA PLASVALE DECO     </t>
  </si>
  <si>
    <t xml:space="preserve">ESTOJO PORTA ESCOVA DE DE     </t>
  </si>
  <si>
    <t>1462DC</t>
  </si>
  <si>
    <t xml:space="preserve">PORTA ESCOVA DECOR PLASVA     </t>
  </si>
  <si>
    <t xml:space="preserve">JARRA 2L CRISTAL              </t>
  </si>
  <si>
    <t xml:space="preserve">COPO CRISTAL                  </t>
  </si>
  <si>
    <t xml:space="preserve">BOWL 250ML CRISTAL            </t>
  </si>
  <si>
    <t xml:space="preserve">BOWL 3L CRISTAL               </t>
  </si>
  <si>
    <t xml:space="preserve">ORGANIZADOR 27L               </t>
  </si>
  <si>
    <t>1481OC</t>
  </si>
  <si>
    <t xml:space="preserve">FATIADOR DE OVOS              </t>
  </si>
  <si>
    <t xml:space="preserve">COLHERES MEDIDORAS            </t>
  </si>
  <si>
    <t xml:space="preserve">RALADOR DE ALHO               </t>
  </si>
  <si>
    <t xml:space="preserve">BATATA CHIPS DE MICROONDA     </t>
  </si>
  <si>
    <t xml:space="preserve">ORGANIZADOR DE GELADEIRA      </t>
  </si>
  <si>
    <t xml:space="preserve">ESPANADOR LIMPE +             </t>
  </si>
  <si>
    <t xml:space="preserve">CONJUNTO PA/ESPANADOR LIM     </t>
  </si>
  <si>
    <t xml:space="preserve">ESCOVA SANITARIA LIMPE +      </t>
  </si>
  <si>
    <t xml:space="preserve">ESCOVA MULTIUSO LIMPE +       </t>
  </si>
  <si>
    <t xml:space="preserve">CESTA ORGANIZADORA 3,4L       </t>
  </si>
  <si>
    <t xml:space="preserve">TABUA FLEXIVEL                </t>
  </si>
  <si>
    <t xml:space="preserve">PEGADOR DE SORVETE            </t>
  </si>
  <si>
    <t xml:space="preserve">FORMA DE GELO SILICONE        </t>
  </si>
  <si>
    <t xml:space="preserve">ESCOVA MULTIUSO GRANDE LI     </t>
  </si>
  <si>
    <t>1532.</t>
  </si>
  <si>
    <t xml:space="preserve">EXPO TORRE 1,5 X 1,5M         </t>
  </si>
  <si>
    <t xml:space="preserve">ORGANIZADOR MULTIUSO 1,8L     </t>
  </si>
  <si>
    <t xml:space="preserve">CESTA COM SUPORTE MULTIUS     </t>
  </si>
  <si>
    <t xml:space="preserve">ORGANIZADOR MULTIUSO P        </t>
  </si>
  <si>
    <t xml:space="preserve">ORGANIZADOR MULTIUSO M        </t>
  </si>
  <si>
    <t xml:space="preserve">SHAKEIRA COM DIVISÓRIA 60     </t>
  </si>
  <si>
    <t xml:space="preserve">CESTA ORGANIZADORA TRANSP     </t>
  </si>
  <si>
    <t xml:space="preserve">CESTA ORGANIZADORA TRASP.     </t>
  </si>
  <si>
    <t xml:space="preserve">RODO LIMPE +                  </t>
  </si>
  <si>
    <t xml:space="preserve">ESCOVA REDONDA LIMPE +        </t>
  </si>
  <si>
    <t xml:space="preserve">PA E VASSOURA C/ CABO LIM     </t>
  </si>
  <si>
    <t xml:space="preserve">MIXER                         </t>
  </si>
  <si>
    <t xml:space="preserve">CORTADOR DE SALADA            </t>
  </si>
  <si>
    <t xml:space="preserve">POTE REDONDO DIAMANTE M       </t>
  </si>
  <si>
    <t xml:space="preserve">POTE RETANGULAR DIAMANTE      </t>
  </si>
  <si>
    <t xml:space="preserve">KIT 3 EMBALAGENS POTE ZIP     </t>
  </si>
  <si>
    <t xml:space="preserve">POTE BIOVITA 500ML            </t>
  </si>
  <si>
    <t xml:space="preserve">PORTA DETERGENTE              </t>
  </si>
  <si>
    <t xml:space="preserve">ESCORREDOR DE TALHERES        </t>
  </si>
  <si>
    <t xml:space="preserve">EXPO CESTO QUAD.ARAMADO       </t>
  </si>
  <si>
    <t xml:space="preserve">MARMITA 660ml                 </t>
  </si>
  <si>
    <t>1640DC</t>
  </si>
  <si>
    <t xml:space="preserve">MARMITA PLASVALE DECOR        </t>
  </si>
  <si>
    <t xml:space="preserve">MARMITA COM DIVISORIA         </t>
  </si>
  <si>
    <t xml:space="preserve">POLVILHADOR                   </t>
  </si>
  <si>
    <t xml:space="preserve">SUPORTE PARA PORTA REDOND     </t>
  </si>
  <si>
    <t xml:space="preserve">ORGANIZADOR DE TALHERES 4     </t>
  </si>
  <si>
    <t xml:space="preserve">CACHEPOT 3D 700 ML            </t>
  </si>
  <si>
    <t xml:space="preserve">CACHEPOT 3D 1,4L              </t>
  </si>
  <si>
    <t xml:space="preserve">CACHEPOT 3D 2,5L              </t>
  </si>
  <si>
    <t xml:space="preserve">CACHEPOT 3D FLOREIRA 4,1L     </t>
  </si>
  <si>
    <t xml:space="preserve">ORGANIZADOR MULTIUSO 3 DI     </t>
  </si>
  <si>
    <t xml:space="preserve">ESCORREDOR INTELIGENTE 2L     </t>
  </si>
  <si>
    <t xml:space="preserve">PORTA MANTIMENTOS 500ml       </t>
  </si>
  <si>
    <t xml:space="preserve">PORTA MANTIMENTOS 1L          </t>
  </si>
  <si>
    <t xml:space="preserve">PORTA MANTIMENTOS 1,5L        </t>
  </si>
  <si>
    <t xml:space="preserve">ESCORREDOR 38CM               </t>
  </si>
  <si>
    <t xml:space="preserve">ESCORREDOR SLIM               </t>
  </si>
  <si>
    <t xml:space="preserve">BOWL ONDAS 2L                 </t>
  </si>
  <si>
    <t xml:space="preserve">KIT 3 PORTA CONDIMENTOS       </t>
  </si>
  <si>
    <t xml:space="preserve">ORGANIZADOR DE TALHERES 3     </t>
  </si>
  <si>
    <t xml:space="preserve">PORTA MANTIMENTOS 550 ML      </t>
  </si>
  <si>
    <t xml:space="preserve">PORTA SACOLA                  </t>
  </si>
  <si>
    <t xml:space="preserve">ORGANIZADOR PARIS RETANGU     </t>
  </si>
  <si>
    <t xml:space="preserve">BOWL COM TAMPA E COLHER       </t>
  </si>
  <si>
    <t>1739DC</t>
  </si>
  <si>
    <t xml:space="preserve">BOWL C/ COLHER PLASVALE D     </t>
  </si>
  <si>
    <t xml:space="preserve">KIT 4 POTES                   </t>
  </si>
  <si>
    <t xml:space="preserve">EXPO CAIXA DE PAPELAO         </t>
  </si>
  <si>
    <t xml:space="preserve">EXP. TORRE PALLET 1m x 1,     </t>
  </si>
  <si>
    <t xml:space="preserve">KIT 03 POTES DE 500ML         </t>
  </si>
  <si>
    <t xml:space="preserve">KIT 3 POTES DE 1,4L           </t>
  </si>
  <si>
    <t xml:space="preserve">KIT 3 POTES 2L                </t>
  </si>
  <si>
    <t xml:space="preserve">KIT 3 POTES DE 1,3L           </t>
  </si>
  <si>
    <t xml:space="preserve">POTE 250ML BIOVITA            </t>
  </si>
  <si>
    <t>1805BK</t>
  </si>
  <si>
    <t xml:space="preserve">KIT 2 POTES 0,5L E 1L         </t>
  </si>
  <si>
    <t xml:space="preserve">KIT 3 POTES DE 1,9 L          </t>
  </si>
  <si>
    <t xml:space="preserve">KIT 3 POTES 900ml/1,4L/2,     </t>
  </si>
  <si>
    <t xml:space="preserve">KIT 3 POTES 250ML BIOVITA     </t>
  </si>
  <si>
    <t xml:space="preserve">FEIR. 240 KITS BIOVITA 25     </t>
  </si>
  <si>
    <t xml:space="preserve">ORGANIZADOR 35 LTRS           </t>
  </si>
  <si>
    <t xml:space="preserve">COPO TERMICO 500ML            </t>
  </si>
  <si>
    <t xml:space="preserve">PORTA MANTIMENTOS 430 ML      </t>
  </si>
  <si>
    <t xml:space="preserve">PORTA MANTIMENTOS 750 ML      </t>
  </si>
  <si>
    <t xml:space="preserve">POTE MAIS 250ML               </t>
  </si>
  <si>
    <t xml:space="preserve">POTE MAIS 300ML               </t>
  </si>
  <si>
    <t xml:space="preserve">POTE MAIS 530ML               </t>
  </si>
  <si>
    <t xml:space="preserve">POTE MAIS 710ML               </t>
  </si>
  <si>
    <t xml:space="preserve">PORTA FRIOS 1,4L              </t>
  </si>
  <si>
    <t xml:space="preserve">POTE MAIS 4,5L                </t>
  </si>
  <si>
    <t xml:space="preserve">POTE MAIS 900ML               </t>
  </si>
  <si>
    <t xml:space="preserve">KIT 4 POTES MAIS 250ML        </t>
  </si>
  <si>
    <t xml:space="preserve">KIT 4 POTES MAIS 300ML        </t>
  </si>
  <si>
    <t xml:space="preserve">KIT 4 POTES MAIS 530ML        </t>
  </si>
  <si>
    <t xml:space="preserve">KIT 3 POTES MAIS 710ML        </t>
  </si>
  <si>
    <t xml:space="preserve">KIT 6 POTE LINHA MAIS.        </t>
  </si>
  <si>
    <t xml:space="preserve">KIT 3 POTES MAIS 900ML        </t>
  </si>
  <si>
    <t xml:space="preserve">KIT 12 POTES LINHA MAIS       </t>
  </si>
  <si>
    <t xml:space="preserve">KIT 12 POTES MAIS             </t>
  </si>
  <si>
    <t xml:space="preserve">FEIRINHA LIXEIRA 7,3L 45U     </t>
  </si>
  <si>
    <t>1870DC</t>
  </si>
  <si>
    <t xml:space="preserve">BOWL COM TAMPA E COLHER P     </t>
  </si>
  <si>
    <t>1871DC</t>
  </si>
  <si>
    <t xml:space="preserve">POTE 250ML BIOVITA PONY       </t>
  </si>
  <si>
    <t>1872DC</t>
  </si>
  <si>
    <t xml:space="preserve">COPO COM CANUDO 270ML PON     </t>
  </si>
  <si>
    <t>1873DC</t>
  </si>
  <si>
    <t xml:space="preserve">COPO DECOR 320ML PONY         </t>
  </si>
  <si>
    <t>1874DC</t>
  </si>
  <si>
    <t xml:space="preserve">COPO COM TAMPA 320ML PONY     </t>
  </si>
  <si>
    <t>1875DC</t>
  </si>
  <si>
    <t xml:space="preserve">PRATO FUNDO DECORADO PONY     </t>
  </si>
  <si>
    <t>1876DC</t>
  </si>
  <si>
    <t xml:space="preserve">POTE MARMITA PONY             </t>
  </si>
  <si>
    <t>1877DC</t>
  </si>
  <si>
    <t xml:space="preserve">POTE QUEBRA CABECA PONY       </t>
  </si>
  <si>
    <t>1878DC</t>
  </si>
  <si>
    <t xml:space="preserve">POTE ENCAIXE PONY             </t>
  </si>
  <si>
    <t>1879DC</t>
  </si>
  <si>
    <t xml:space="preserve">BOWL 550ML DECOR PONY         </t>
  </si>
  <si>
    <t>1880DC</t>
  </si>
  <si>
    <t xml:space="preserve">SANDUICHEIRA DECOR PONY       </t>
  </si>
  <si>
    <t>1881DC</t>
  </si>
  <si>
    <t xml:space="preserve">SABONETEIRA INFANTIL PONY     </t>
  </si>
  <si>
    <t>1882DC</t>
  </si>
  <si>
    <t xml:space="preserve">ESTOJO PORT ESCOVA DENTES     </t>
  </si>
  <si>
    <t>1884DC</t>
  </si>
  <si>
    <t xml:space="preserve">COPO 580ML DECORADO PONY      </t>
  </si>
  <si>
    <t xml:space="preserve">BOLSA TÉRMICA PONY            </t>
  </si>
  <si>
    <t>1887DC</t>
  </si>
  <si>
    <t xml:space="preserve">BOWL COM TAMPA E COLHER T     </t>
  </si>
  <si>
    <t>1888DC</t>
  </si>
  <si>
    <t xml:space="preserve">POTE 250ML BIOVITA TRANSF     </t>
  </si>
  <si>
    <t>1889DC</t>
  </si>
  <si>
    <t xml:space="preserve">COPO COM CANUDO 270ML TRA     </t>
  </si>
  <si>
    <t>1890DC</t>
  </si>
  <si>
    <t xml:space="preserve">COPO DECOR 320ML TRANSFOR     </t>
  </si>
  <si>
    <t>1891DC</t>
  </si>
  <si>
    <t xml:space="preserve">COPO COM TAMPA 320ML TRAN     </t>
  </si>
  <si>
    <t>1892DC</t>
  </si>
  <si>
    <t xml:space="preserve">PRATO FUNDO DECORADO TRAN     </t>
  </si>
  <si>
    <t>1893DC</t>
  </si>
  <si>
    <t xml:space="preserve">POTE MARMITA TRANSFORMERS     </t>
  </si>
  <si>
    <t>1896DC</t>
  </si>
  <si>
    <t xml:space="preserve">BOWL 550ML DECOR TRANSF       </t>
  </si>
  <si>
    <t>1897DC</t>
  </si>
  <si>
    <t xml:space="preserve">SANDUICHEIRA DECOR TRANSF     </t>
  </si>
  <si>
    <t>1898DC</t>
  </si>
  <si>
    <t xml:space="preserve">SABONETEIRA INFANTIL TRAN     </t>
  </si>
  <si>
    <t>1899DC</t>
  </si>
  <si>
    <t xml:space="preserve">ESTOJO PORT ESCOV DENTES      </t>
  </si>
  <si>
    <t>1901DC</t>
  </si>
  <si>
    <t xml:space="preserve">COPO 580ML DECORADO TRANS     </t>
  </si>
  <si>
    <t xml:space="preserve">BOLSA TÉRMICA TRANSFORMER     </t>
  </si>
  <si>
    <t xml:space="preserve">KIT SORVETE 9PCS              </t>
  </si>
  <si>
    <t xml:space="preserve">RALADOR C/ DISPENSER 550M     </t>
  </si>
  <si>
    <t xml:space="preserve">ESCORREDOR MULTIUSO           </t>
  </si>
  <si>
    <t xml:space="preserve">DESCANSO DE TAMPA E  COLH     </t>
  </si>
  <si>
    <t xml:space="preserve">GARRAFA ÁGUA 740 ML           </t>
  </si>
  <si>
    <t xml:space="preserve">GARRAFA ÁGUA 1,12L            </t>
  </si>
  <si>
    <t xml:space="preserve">BOLSA TERMICA FLORAL          </t>
  </si>
  <si>
    <t xml:space="preserve">BOLSA TERMICA FLAMINGO        </t>
  </si>
  <si>
    <t xml:space="preserve">BOLSA TERMICA MOVE AZUL       </t>
  </si>
  <si>
    <t xml:space="preserve">EXPO POLI PRATE. INSTITUC     </t>
  </si>
  <si>
    <t xml:space="preserve">GARRAFA INDIVIDUAL 500ML      </t>
  </si>
  <si>
    <t xml:space="preserve">GARRAFA INDIVIDUAL 1L         </t>
  </si>
  <si>
    <t xml:space="preserve">GARRAFA INDIVIDUAL 2L         </t>
  </si>
  <si>
    <t xml:space="preserve">COPO TERMICO COM CANUDO 9     </t>
  </si>
  <si>
    <t xml:space="preserve">COPO TERMICO LONG NECK 41     </t>
  </si>
  <si>
    <t xml:space="preserve">COPO TERMICO C/ ABRIDOR 6     </t>
  </si>
  <si>
    <t xml:space="preserve">GARRAFA TÉRMICA 520ML.        </t>
  </si>
  <si>
    <t xml:space="preserve">PORTA MANTIMENTOS 2L          </t>
  </si>
  <si>
    <t xml:space="preserve">PORTA MANTIMENTOS HERMET      </t>
  </si>
  <si>
    <t xml:space="preserve">PORTA MANTIMENTOS HERMET.     </t>
  </si>
  <si>
    <t xml:space="preserve">PORTA MANTIMENTOS 1,2L        </t>
  </si>
  <si>
    <t xml:space="preserve">PORTA MANTIMENTOS 1,7L        </t>
  </si>
  <si>
    <t xml:space="preserve">PORTA MANTIMENTOS 2,4L        </t>
  </si>
  <si>
    <t xml:space="preserve">BOLEIRA 33,5cm PLASVALE       </t>
  </si>
  <si>
    <t xml:space="preserve">KIT 3 POTES RETANGULAR HE     </t>
  </si>
  <si>
    <t xml:space="preserve">KIT 3 POTES QUADRADO HERM     </t>
  </si>
  <si>
    <t>1983DC</t>
  </si>
  <si>
    <t xml:space="preserve">POTE MARMITA COM ALÇA PJ      </t>
  </si>
  <si>
    <t>1984DC</t>
  </si>
  <si>
    <t xml:space="preserve">COPO 580ML DECORADO PJ MA     </t>
  </si>
  <si>
    <t>1985DC</t>
  </si>
  <si>
    <t xml:space="preserve">SANDUICHEIRA DECOR PJ MAS     </t>
  </si>
  <si>
    <t>1986DC</t>
  </si>
  <si>
    <t>1987DC</t>
  </si>
  <si>
    <t xml:space="preserve">PRATO FUNDO DECORADO PJ M     </t>
  </si>
  <si>
    <t>1988DC</t>
  </si>
  <si>
    <t xml:space="preserve">BOWL C TAMPA E COLHER PJ      </t>
  </si>
  <si>
    <t>1989DC</t>
  </si>
  <si>
    <t xml:space="preserve">COPO COM TAMPA 320ML PJ M     </t>
  </si>
  <si>
    <t>1990DC</t>
  </si>
  <si>
    <t xml:space="preserve">COPO COM CANUDO 270ML PJ      </t>
  </si>
  <si>
    <t>1991DC</t>
  </si>
  <si>
    <t xml:space="preserve">COPO DECOR 320ML PJ MASKS     </t>
  </si>
  <si>
    <t>1992DC</t>
  </si>
  <si>
    <t xml:space="preserve">SABONETEIRA INFANTIL PJ M     </t>
  </si>
  <si>
    <t>1993DC</t>
  </si>
  <si>
    <t xml:space="preserve">BOWL 550ML DECOR PJ MASKS     </t>
  </si>
  <si>
    <t xml:space="preserve">POTE RETANGULAR MAIS 1,1L     </t>
  </si>
  <si>
    <t xml:space="preserve">POTE RETANGULAR MAIS 1,8L     </t>
  </si>
  <si>
    <t xml:space="preserve">POTE RETANGULAR MAIS 3,5L     </t>
  </si>
  <si>
    <t xml:space="preserve">FEIRINHA GARRAFA 500ML 16     </t>
  </si>
  <si>
    <t xml:space="preserve">FEIRINHA PULV. 550ML 135U     </t>
  </si>
  <si>
    <t xml:space="preserve">FEIRINHA POTE MAIS 710ml      </t>
  </si>
  <si>
    <t xml:space="preserve">JARRA COM ESPREMEDOR 1 L.     </t>
  </si>
  <si>
    <t xml:space="preserve">KIT 3 POTES BIOVITA 1L        </t>
  </si>
  <si>
    <t xml:space="preserve">KIT 2 POTES MAIS 4,5L         </t>
  </si>
  <si>
    <t xml:space="preserve">KIT 3 FUNIS                   </t>
  </si>
  <si>
    <t xml:space="preserve">KIT 3 POTES MAIS 1,1L         </t>
  </si>
  <si>
    <t xml:space="preserve">KIT 3 POTES MAIS 1,8 L        </t>
  </si>
  <si>
    <t xml:space="preserve">KIT 3 POTE MAIS 710ml/1,1     </t>
  </si>
  <si>
    <t xml:space="preserve">KIT 2 POTES MAIS 1,8/3,5L     </t>
  </si>
  <si>
    <t xml:space="preserve">PORTA MANTIMENTOS QUAD. 5     </t>
  </si>
  <si>
    <t xml:space="preserve">PORTA MANTIMENTOS QUAD. 8     </t>
  </si>
  <si>
    <t xml:space="preserve">PORTA MANTIMENTOS QUAD. 1     </t>
  </si>
  <si>
    <t xml:space="preserve">PORTA MANTIMENTOS RET. 66     </t>
  </si>
  <si>
    <t xml:space="preserve">PORTA MANTIMENTOS RET. 96     </t>
  </si>
  <si>
    <t xml:space="preserve">PORTA MANTIMENTOS RET. 1,     </t>
  </si>
  <si>
    <t xml:space="preserve">PORTA MANTIMENTOS RET. 2L     </t>
  </si>
  <si>
    <t xml:space="preserve">FEIRINHA KITS MAIS 250ml      </t>
  </si>
  <si>
    <t xml:space="preserve">FEIRINHA KITS MAIS 300ml      </t>
  </si>
  <si>
    <t xml:space="preserve">FEIRINHA KITS MAIS 530ml      </t>
  </si>
  <si>
    <t xml:space="preserve">FEIRINHA KITS MAIS 710ml      </t>
  </si>
  <si>
    <t xml:space="preserve">FEIRINHA KITS MAIS 900ml      </t>
  </si>
  <si>
    <t xml:space="preserve">FEIRINHA MARMITA 660ml 20     </t>
  </si>
  <si>
    <t xml:space="preserve">FEIRINHA JARRA 1L 96UN        </t>
  </si>
  <si>
    <t xml:space="preserve">PULVERIZADOR MULTIUSO 300     </t>
  </si>
  <si>
    <t xml:space="preserve">CONJ PARA BANHEIRO 4 PCS      </t>
  </si>
  <si>
    <t xml:space="preserve">PORTA MANTIMENTOS RET. 3,     </t>
  </si>
  <si>
    <t xml:space="preserve">CONJ BANHEIRO PIA 2 PCS       </t>
  </si>
  <si>
    <t xml:space="preserve">PORTA OVOS 15 UNIDADES        </t>
  </si>
  <si>
    <t xml:space="preserve">ORGANIZADOR MULTIFUNCIONA     </t>
  </si>
  <si>
    <t xml:space="preserve">KIT 12 PRENDEDORES PARA R     </t>
  </si>
  <si>
    <t xml:space="preserve">CESTO PARA PRENDEDORES        </t>
  </si>
  <si>
    <t xml:space="preserve">BISNAGA INVERTIDA PROF 47     </t>
  </si>
  <si>
    <t xml:space="preserve">BISNAGA INVERTIDA PROF 59     </t>
  </si>
  <si>
    <t xml:space="preserve">BISNAGA INVERTIDA PROF 71     </t>
  </si>
  <si>
    <t xml:space="preserve">BISNAGA FLEXÍVEL PROF 300     </t>
  </si>
  <si>
    <t xml:space="preserve">BISNAGA FLEXÍVEL PROF 450     </t>
  </si>
  <si>
    <t xml:space="preserve">BISNAGA FLEXÍVEL PROF 650     </t>
  </si>
  <si>
    <t xml:space="preserve">BISNAGA FLEXÍVEL PROF 800     </t>
  </si>
  <si>
    <t xml:space="preserve">BISNAGA FLEXÍVEL PROF 1L      </t>
  </si>
  <si>
    <t xml:space="preserve">BISNAGA BICO CURVO 500ML      </t>
  </si>
  <si>
    <t xml:space="preserve">KIT 6 COPOS 320ml             </t>
  </si>
  <si>
    <t xml:space="preserve">FEIRINHA POTES MAIS 1,8L      </t>
  </si>
  <si>
    <t xml:space="preserve">TÁBUA DE CORTE PEQUENA        </t>
  </si>
  <si>
    <t xml:space="preserve">TÁBUA DE CORTE MEDIA          </t>
  </si>
  <si>
    <t xml:space="preserve">TÁBUA DE CORTE GRANDE         </t>
  </si>
  <si>
    <t xml:space="preserve">FEIRINHA JARRAS GRAD. 1L      </t>
  </si>
  <si>
    <t xml:space="preserve">LUVA REMOVEDORA DE PELOS      </t>
  </si>
  <si>
    <t xml:space="preserve">ESCOVA REMOVEDORA DE PELO     </t>
  </si>
  <si>
    <t xml:space="preserve">COMEDOURO ANTI-GULA           </t>
  </si>
  <si>
    <t xml:space="preserve">COMEDOURO                     </t>
  </si>
  <si>
    <t xml:space="preserve">MORDEDOR DE BORRACHA - OV     </t>
  </si>
  <si>
    <t xml:space="preserve">BRINQUEDO DE BORRACHA PAR     </t>
  </si>
  <si>
    <t xml:space="preserve">DISPENSER 3 EM 1              </t>
  </si>
  <si>
    <t xml:space="preserve">DISPENSER DE AGUA PARA PE     </t>
  </si>
  <si>
    <t xml:space="preserve">DISPENSER DE PETISCOS INT     </t>
  </si>
  <si>
    <t xml:space="preserve">DISCO PARA CÃES               </t>
  </si>
  <si>
    <t xml:space="preserve">MORDEDOR BONECO COM CORDA     </t>
  </si>
  <si>
    <t xml:space="preserve">DISPENSER DE PETISCO INTE     </t>
  </si>
  <si>
    <t xml:space="preserve">PELUCIA RATO CATNIP           </t>
  </si>
  <si>
    <t xml:space="preserve">MORDEDOR ROSCA PORTA PETI     </t>
  </si>
  <si>
    <t xml:space="preserve">MORDEDOR DISCO PORTA PETI     </t>
  </si>
  <si>
    <t xml:space="preserve">COMEDOURO COM ALTURA          </t>
  </si>
  <si>
    <t xml:space="preserve">VARINHA GATO LONGA COM PE     </t>
  </si>
  <si>
    <t xml:space="preserve">BRINQUEDO MOLA INTERATIVO     </t>
  </si>
  <si>
    <t xml:space="preserve">EXPO POLI PRATE. LICENCIA     </t>
  </si>
  <si>
    <t xml:space="preserve">EXPO RODA GIGA. ORGAN.27      </t>
  </si>
  <si>
    <t xml:space="preserve">ESPÁTULA COM FURO BAMBU       </t>
  </si>
  <si>
    <t xml:space="preserve">PORTA MANTIMENTOS 520ML.      </t>
  </si>
  <si>
    <t xml:space="preserve">PORTA MANTIMENTOS 620ML.      </t>
  </si>
  <si>
    <t xml:space="preserve">PORTA MANTIMENTOS 770ML.      </t>
  </si>
  <si>
    <t xml:space="preserve">KIT MINI GARFOS BAMBU         </t>
  </si>
  <si>
    <t xml:space="preserve">KIT MINI FACAS BAMBU          </t>
  </si>
  <si>
    <t xml:space="preserve">PETISQUEIRA 3 DIVISÓRIAS      </t>
  </si>
  <si>
    <t xml:space="preserve">PETISQUEIRA 4 DIVISÓRIAS      </t>
  </si>
  <si>
    <t xml:space="preserve">PETISQUEIRA CORAÇÃO           </t>
  </si>
  <si>
    <t xml:space="preserve">TÁBUA DE BAMBU 32CM           </t>
  </si>
  <si>
    <t xml:space="preserve">PETISQUEIRA 5 DIVISÓRIAS      </t>
  </si>
  <si>
    <t xml:space="preserve">PORTA MANTIMENTOS 1,5L.       </t>
  </si>
  <si>
    <t xml:space="preserve">BANDEJA OVAL BAMBU 28x20x     </t>
  </si>
  <si>
    <t xml:space="preserve">BANDEJA OVAL BAMBU 23x15x     </t>
  </si>
  <si>
    <t xml:space="preserve">BOWL REDONDO FUNDO 2,4L       </t>
  </si>
  <si>
    <t xml:space="preserve">BOWL REDONDO FUNDO 7L         </t>
  </si>
  <si>
    <t xml:space="preserve">TRAVESSA OVAL 25CM            </t>
  </si>
  <si>
    <t xml:space="preserve">ESCORREDOR 28CM               </t>
  </si>
  <si>
    <t xml:space="preserve">RALADOR QUATRO LADOS 21CM     </t>
  </si>
  <si>
    <t xml:space="preserve">ESPREMEDOR 320 ML             </t>
  </si>
  <si>
    <t xml:space="preserve">ESPREMEDOR DE FRUTAS          </t>
  </si>
  <si>
    <t xml:space="preserve">ABRIDOR DE GARRAFAS           </t>
  </si>
  <si>
    <t xml:space="preserve">PEGADOR DE GELO               </t>
  </si>
  <si>
    <t xml:space="preserve">CONCHA COZINHA                </t>
  </si>
  <si>
    <t xml:space="preserve">ESPATULA COZINHA              </t>
  </si>
  <si>
    <t xml:space="preserve">COLHER COZINHA                </t>
  </si>
  <si>
    <t xml:space="preserve">ESCUMADEIRA COZINHA           </t>
  </si>
  <si>
    <t xml:space="preserve">PETISQUEIRA 5 DIVISORIAS      </t>
  </si>
  <si>
    <t xml:space="preserve">COQUETELEIRA                  </t>
  </si>
  <si>
    <t xml:space="preserve">BALDE PARA BEBIDAS 4,7L       </t>
  </si>
  <si>
    <t xml:space="preserve">POTE PARA BISCOITO            </t>
  </si>
  <si>
    <t xml:space="preserve">ESPATULA COM GANCHO           </t>
  </si>
  <si>
    <t xml:space="preserve">COLHER BAILARINA              </t>
  </si>
  <si>
    <t xml:space="preserve">PEGADOR DE SALADA             </t>
  </si>
  <si>
    <t xml:space="preserve">CONJUNTO COLHERES MEDIDOR     </t>
  </si>
  <si>
    <t xml:space="preserve">ESPREMEDOR DE BATATAS         </t>
  </si>
  <si>
    <t xml:space="preserve">DOSADOR DE BEBIDAS 20ML/4     </t>
  </si>
  <si>
    <t xml:space="preserve">TRAVESSA OVAL 23CM            </t>
  </si>
  <si>
    <t xml:space="preserve">PENEIRA 8CM                   </t>
  </si>
  <si>
    <t xml:space="preserve">PENEIRA 10CM                  </t>
  </si>
  <si>
    <t xml:space="preserve">PENEIRA 12CM                  </t>
  </si>
  <si>
    <t xml:space="preserve">PA PARA GELO                  </t>
  </si>
  <si>
    <t xml:space="preserve">PEGADOR DE MACARRAO           </t>
  </si>
  <si>
    <t xml:space="preserve">CORT E RALADOR MULTIFUNCI     </t>
  </si>
  <si>
    <t xml:space="preserve">MARMITA 2 COMPARTIMENTOS      </t>
  </si>
  <si>
    <t xml:space="preserve">MARMITA 2 COMPARTI E TALH     </t>
  </si>
  <si>
    <t xml:space="preserve">MARMITA DIV. REMOVÍVEL 1L     </t>
  </si>
  <si>
    <t xml:space="preserve">CORT E RAL 10 EM 1 C/ DIS     </t>
  </si>
  <si>
    <t xml:space="preserve">KIT BAR 4 PCS                 </t>
  </si>
  <si>
    <t xml:space="preserve">FORMA PARA OVO - SMILE        </t>
  </si>
  <si>
    <t xml:space="preserve">TAÇA DE ÁGUA DIAMANTE 300     </t>
  </si>
  <si>
    <t xml:space="preserve">TAÇA DE SOBREMESA DIAMAN      </t>
  </si>
  <si>
    <t xml:space="preserve">JARRA VIDRO DIAMANTE 1,2L     </t>
  </si>
  <si>
    <t xml:space="preserve">CONJ. 6 COPOS DIAMANTE 0,     </t>
  </si>
  <si>
    <t xml:space="preserve">CONJ 6 COPOS ITALIANO 0,3     </t>
  </si>
  <si>
    <t xml:space="preserve">CONJ 6 COPOS ITALIANO 0,2     </t>
  </si>
  <si>
    <t xml:space="preserve">BOMBONIERE 250 ML             </t>
  </si>
  <si>
    <t xml:space="preserve">POTE VIDRO HERMÉTICO R. 1     </t>
  </si>
  <si>
    <t xml:space="preserve">POTE VIDRO HERMÉTICO R. 6     </t>
  </si>
  <si>
    <t xml:space="preserve">POTE VIDRO HERMÉTICO R. 3     </t>
  </si>
  <si>
    <t xml:space="preserve">POTE VIDRO HERMÉTICO Q. 8     </t>
  </si>
  <si>
    <t xml:space="preserve">POTE VIDRO HERMÉTICO Q. 5     </t>
  </si>
  <si>
    <t xml:space="preserve">POTE VIDRO HERMÉTICO Q. 3     </t>
  </si>
  <si>
    <t xml:space="preserve">JARRA MEDIDORA DE VIDRO 5     </t>
  </si>
  <si>
    <t xml:space="preserve">JARRA DE VIDRO COM TAMPA      </t>
  </si>
  <si>
    <t xml:space="preserve">PORTA OVOS 30 UNIDADES        </t>
  </si>
  <si>
    <t xml:space="preserve">FEIRINHA 400 POTES MAIS 9     </t>
  </si>
  <si>
    <t xml:space="preserve">POTE HERMÉTICO RET. 400ML     </t>
  </si>
  <si>
    <t xml:space="preserve">POTE HERMÉTICO RET. 800ML     </t>
  </si>
  <si>
    <t xml:space="preserve">POTE HERMÉTICO RET. 1,4L      </t>
  </si>
  <si>
    <t xml:space="preserve">POTE HERMÉTICO RET. 2,3L      </t>
  </si>
  <si>
    <t xml:space="preserve">LIXEIRA C/PEDAL 100L          </t>
  </si>
  <si>
    <t xml:space="preserve">FEIRINHA LINHA MAIS 1,1L      </t>
  </si>
  <si>
    <t xml:space="preserve">FEIRINHA LINHA MAIS 3,5L      </t>
  </si>
  <si>
    <t>CLASSIFICAÇÃO FISCAL</t>
  </si>
  <si>
    <t>REVENDA</t>
  </si>
  <si>
    <t>NACIONAL</t>
  </si>
  <si>
    <t>39221000</t>
  </si>
  <si>
    <t>32,35%</t>
  </si>
  <si>
    <t>Comparativo ST por UF</t>
  </si>
  <si>
    <t>MVA/IVA ORIG.</t>
  </si>
  <si>
    <t>MVA/IVA AJUST</t>
  </si>
  <si>
    <t>UF</t>
  </si>
  <si>
    <t>CUSTO ST</t>
  </si>
  <si>
    <t>3924.10.00</t>
  </si>
  <si>
    <t>7013.28.00</t>
  </si>
  <si>
    <t>7013.37.00</t>
  </si>
  <si>
    <t>7013.42.90</t>
  </si>
  <si>
    <t>7013.49.00</t>
  </si>
  <si>
    <t>8509.40.90</t>
  </si>
  <si>
    <t>8516.79.90</t>
  </si>
  <si>
    <t>NACIONAL SN</t>
  </si>
  <si>
    <t>IMPORTADO SN</t>
  </si>
  <si>
    <t>7013.42.10</t>
  </si>
  <si>
    <t>SN PR</t>
  </si>
  <si>
    <t>SN = SIMPLES NACIONAL, MVA REDUZIDA EM 70% DA ORIGINAL</t>
  </si>
  <si>
    <t>ATUALIZADO EM 03/01/2023</t>
  </si>
  <si>
    <t>REVENDA IMPORTADO</t>
  </si>
  <si>
    <t>NO CASO DO MS NÃO ANTECIPAMOS, E NÃO HÁ PROTOCO/CONVENIO ENTRE AS UF DE SC E MS.</t>
  </si>
  <si>
    <t>CST - Código de Substituição Tributária</t>
  </si>
  <si>
    <t>Código</t>
  </si>
  <si>
    <t>Origem da mercadoria</t>
  </si>
  <si>
    <t>Nacional</t>
  </si>
  <si>
    <t>Estrangeiro adquirido direto</t>
  </si>
  <si>
    <t xml:space="preserve">Estrangeiro, adquirido no mercado nacional </t>
  </si>
  <si>
    <t>Nacional, com importação inferior ou igual a 40%</t>
  </si>
  <si>
    <t xml:space="preserve">OBS.: Os códigos são compostos por três números, acrescentar "00" ao final de todos.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</si>
</sst>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dd/mm/yy"/>
  </numFmts>
  <fonts count="33" x14ac:knownFonts="1">
    <font>
      <sz val="11"/>
      <name val="Calibri"/>
      <scheme val="minor"/>
    </font>
    <font>
      <b/>
      <sz val="14"/>
      <color rgb="FFFF0000"/>
      <name val="Calibri"/>
    </font>
    <font>
      <sz val="14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1"/>
      <color rgb="FFDBE5F1"/>
      <name val="Calibri"/>
    </font>
    <font>
      <b/>
      <u/>
      <sz val="10"/>
      <color rgb="FFFF0000"/>
      <name val="Calibri"/>
    </font>
    <font>
      <sz val="11"/>
      <name val="Calibri"/>
    </font>
    <font>
      <sz val="10"/>
      <color rgb="FFFF0000"/>
      <name val="Calibri"/>
    </font>
    <font>
      <b/>
      <u/>
      <sz val="10"/>
      <color rgb="FFFF0000"/>
      <name val="Calibri"/>
    </font>
    <font>
      <b/>
      <u/>
      <sz val="11"/>
      <color rgb="FFFF0000"/>
      <name val="Calibri"/>
    </font>
    <font>
      <b/>
      <u/>
      <sz val="10"/>
      <color rgb="FFFF0000"/>
      <name val="Calibri"/>
    </font>
    <font>
      <b/>
      <sz val="11"/>
      <name val="Calibri"/>
    </font>
    <font>
      <b/>
      <sz val="11"/>
      <name val="Calibri"/>
    </font>
    <font>
      <b/>
      <u/>
      <sz val="11"/>
      <color rgb="FFFF0000"/>
      <name val="Calibri"/>
    </font>
    <font>
      <sz val="14"/>
      <name val="Calibri"/>
    </font>
    <font>
      <b/>
      <u/>
      <sz val="10"/>
      <color rgb="FFFF0000"/>
      <name val="Calibri"/>
    </font>
    <font>
      <b/>
      <sz val="10"/>
      <color rgb="FFDBE5F1"/>
      <name val="Calibri"/>
    </font>
    <font>
      <sz val="10"/>
      <name val="Calibri"/>
    </font>
    <font>
      <sz val="11"/>
      <name val="Calibri"/>
    </font>
    <font>
      <sz val="9"/>
      <name val="Calibri"/>
    </font>
    <font>
      <sz val="10"/>
      <color rgb="FF000000"/>
      <name val="Arial"/>
    </font>
    <font>
      <b/>
      <i/>
      <sz val="12"/>
      <color rgb="FF000000"/>
      <name val="Arial"/>
    </font>
    <font>
      <b/>
      <i/>
      <sz val="10"/>
      <color rgb="FF000000"/>
      <name val="Arial"/>
    </font>
    <font>
      <sz val="10"/>
      <name val="Arial"/>
    </font>
    <font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name val="Times New Roman"/>
    </font>
    <font>
      <b/>
      <sz val="10"/>
      <name val="Arial"/>
    </font>
    <font>
      <b/>
      <i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5CA986"/>
        <bgColor rgb="FF5CA986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B7DEE8"/>
        <bgColor rgb="FFB7DEE8"/>
      </patternFill>
    </fill>
    <fill>
      <patternFill patternType="solid">
        <fgColor rgb="FF8DB4E2"/>
        <bgColor rgb="FF8DB4E2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16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/>
    <xf numFmtId="0" fontId="3" fillId="6" borderId="1" xfId="0" applyFont="1" applyFill="1" applyBorder="1"/>
    <xf numFmtId="164" fontId="4" fillId="3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0" fontId="18" fillId="7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2" xfId="0" applyFont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165" fontId="19" fillId="0" borderId="2" xfId="0" applyNumberFormat="1" applyFont="1" applyBorder="1" applyAlignment="1">
      <alignment horizontal="center"/>
    </xf>
    <xf numFmtId="9" fontId="19" fillId="8" borderId="2" xfId="0" applyNumberFormat="1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0" fontId="19" fillId="0" borderId="2" xfId="0" applyNumberFormat="1" applyFont="1" applyBorder="1" applyAlignment="1">
      <alignment horizontal="center"/>
    </xf>
    <xf numFmtId="9" fontId="19" fillId="8" borderId="2" xfId="0" quotePrefix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/>
    </xf>
    <xf numFmtId="2" fontId="19" fillId="9" borderId="7" xfId="0" applyNumberFormat="1" applyFont="1" applyFill="1" applyBorder="1" applyAlignment="1">
      <alignment horizontal="center" vertical="center"/>
    </xf>
    <xf numFmtId="9" fontId="19" fillId="9" borderId="7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right"/>
    </xf>
    <xf numFmtId="0" fontId="20" fillId="0" borderId="12" xfId="0" applyFont="1" applyBorder="1"/>
    <xf numFmtId="10" fontId="19" fillId="0" borderId="13" xfId="0" applyNumberFormat="1" applyFont="1" applyBorder="1" applyAlignment="1">
      <alignment horizontal="center" vertical="center"/>
    </xf>
    <xf numFmtId="10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19" fillId="0" borderId="1" xfId="0" applyFont="1" applyBorder="1" applyAlignment="1">
      <alignment vertical="center"/>
    </xf>
    <xf numFmtId="0" fontId="19" fillId="0" borderId="1" xfId="0" applyFont="1" applyBorder="1"/>
    <xf numFmtId="9" fontId="5" fillId="2" borderId="19" xfId="0" applyNumberFormat="1" applyFont="1" applyFill="1" applyBorder="1" applyAlignment="1">
      <alignment horizontal="center"/>
    </xf>
    <xf numFmtId="9" fontId="5" fillId="2" borderId="20" xfId="0" applyNumberFormat="1" applyFont="1" applyFill="1" applyBorder="1" applyAlignment="1">
      <alignment horizontal="center"/>
    </xf>
    <xf numFmtId="9" fontId="5" fillId="2" borderId="21" xfId="0" applyNumberFormat="1" applyFont="1" applyFill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19" fillId="10" borderId="1" xfId="0" applyFont="1" applyFill="1" applyBorder="1" applyAlignment="1">
      <alignment vertical="center"/>
    </xf>
    <xf numFmtId="0" fontId="19" fillId="0" borderId="22" xfId="0" applyFont="1" applyBorder="1" applyAlignment="1">
      <alignment horizontal="left"/>
    </xf>
    <xf numFmtId="10" fontId="19" fillId="0" borderId="23" xfId="0" applyNumberFormat="1" applyFont="1" applyBorder="1" applyAlignment="1">
      <alignment horizontal="center"/>
    </xf>
    <xf numFmtId="10" fontId="19" fillId="0" borderId="24" xfId="0" applyNumberFormat="1" applyFont="1" applyBorder="1" applyAlignment="1">
      <alignment horizontal="center"/>
    </xf>
    <xf numFmtId="10" fontId="19" fillId="0" borderId="25" xfId="0" applyNumberFormat="1" applyFont="1" applyBorder="1" applyAlignment="1">
      <alignment horizontal="center"/>
    </xf>
    <xf numFmtId="10" fontId="19" fillId="0" borderId="26" xfId="0" applyNumberFormat="1" applyFont="1" applyBorder="1" applyAlignment="1">
      <alignment horizontal="center"/>
    </xf>
    <xf numFmtId="10" fontId="19" fillId="0" borderId="27" xfId="0" applyNumberFormat="1" applyFont="1" applyBorder="1" applyAlignment="1">
      <alignment horizontal="center"/>
    </xf>
    <xf numFmtId="10" fontId="20" fillId="0" borderId="0" xfId="0" applyNumberFormat="1" applyFont="1"/>
    <xf numFmtId="0" fontId="19" fillId="0" borderId="0" xfId="0" applyFont="1" applyAlignment="1">
      <alignment vertical="center"/>
    </xf>
    <xf numFmtId="0" fontId="19" fillId="0" borderId="0" xfId="0" applyFont="1"/>
    <xf numFmtId="0" fontId="19" fillId="0" borderId="28" xfId="0" applyFont="1" applyBorder="1" applyAlignment="1">
      <alignment horizontal="left"/>
    </xf>
    <xf numFmtId="49" fontId="19" fillId="4" borderId="1" xfId="0" applyNumberFormat="1" applyFont="1" applyFill="1" applyBorder="1" applyAlignment="1">
      <alignment vertical="center"/>
    </xf>
    <xf numFmtId="10" fontId="19" fillId="0" borderId="29" xfId="0" applyNumberFormat="1" applyFont="1" applyBorder="1" applyAlignment="1">
      <alignment horizontal="center"/>
    </xf>
    <xf numFmtId="10" fontId="19" fillId="0" borderId="30" xfId="0" applyNumberFormat="1" applyFont="1" applyBorder="1" applyAlignment="1">
      <alignment horizontal="center"/>
    </xf>
    <xf numFmtId="10" fontId="19" fillId="0" borderId="31" xfId="0" applyNumberFormat="1" applyFont="1" applyBorder="1" applyAlignment="1">
      <alignment horizontal="center"/>
    </xf>
    <xf numFmtId="0" fontId="22" fillId="4" borderId="1" xfId="0" applyFont="1" applyFill="1" applyBorder="1" applyAlignment="1">
      <alignment vertical="center"/>
    </xf>
    <xf numFmtId="10" fontId="19" fillId="0" borderId="13" xfId="0" applyNumberFormat="1" applyFont="1" applyBorder="1" applyAlignment="1">
      <alignment horizontal="center"/>
    </xf>
    <xf numFmtId="10" fontId="19" fillId="0" borderId="22" xfId="0" applyNumberFormat="1" applyFont="1" applyBorder="1" applyAlignment="1">
      <alignment horizontal="center"/>
    </xf>
    <xf numFmtId="10" fontId="19" fillId="0" borderId="32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10" fontId="19" fillId="0" borderId="0" xfId="0" applyNumberFormat="1" applyFont="1" applyAlignment="1">
      <alignment horizontal="center"/>
    </xf>
    <xf numFmtId="0" fontId="20" fillId="0" borderId="1" xfId="0" applyFont="1" applyBorder="1"/>
    <xf numFmtId="0" fontId="22" fillId="4" borderId="36" xfId="0" applyFont="1" applyFill="1" applyBorder="1" applyAlignment="1">
      <alignment vertical="center"/>
    </xf>
    <xf numFmtId="0" fontId="24" fillId="4" borderId="1" xfId="0" applyFont="1" applyFill="1" applyBorder="1" applyAlignment="1">
      <alignment vertical="center"/>
    </xf>
    <xf numFmtId="0" fontId="20" fillId="0" borderId="37" xfId="0" applyFont="1" applyBorder="1"/>
    <xf numFmtId="0" fontId="24" fillId="4" borderId="38" xfId="0" applyFont="1" applyFill="1" applyBorder="1" applyAlignment="1">
      <alignment vertical="center"/>
    </xf>
    <xf numFmtId="0" fontId="22" fillId="11" borderId="39" xfId="0" applyFont="1" applyFill="1" applyBorder="1" applyAlignment="1">
      <alignment vertical="center"/>
    </xf>
    <xf numFmtId="10" fontId="22" fillId="11" borderId="40" xfId="0" applyNumberFormat="1" applyFont="1" applyFill="1" applyBorder="1" applyAlignment="1">
      <alignment horizontal="right" vertical="center"/>
    </xf>
    <xf numFmtId="0" fontId="22" fillId="11" borderId="40" xfId="0" applyFont="1" applyFill="1" applyBorder="1" applyAlignment="1">
      <alignment vertical="center"/>
    </xf>
    <xf numFmtId="0" fontId="20" fillId="0" borderId="37" xfId="0" applyFont="1" applyBorder="1" applyAlignment="1">
      <alignment horizontal="center" vertical="center"/>
    </xf>
    <xf numFmtId="0" fontId="22" fillId="4" borderId="40" xfId="0" applyFont="1" applyFill="1" applyBorder="1" applyAlignment="1">
      <alignment vertical="center"/>
    </xf>
    <xf numFmtId="10" fontId="22" fillId="4" borderId="40" xfId="0" applyNumberFormat="1" applyFont="1" applyFill="1" applyBorder="1" applyAlignment="1">
      <alignment horizontal="right" vertical="center"/>
    </xf>
    <xf numFmtId="10" fontId="22" fillId="11" borderId="41" xfId="0" applyNumberFormat="1" applyFont="1" applyFill="1" applyBorder="1" applyAlignment="1">
      <alignment horizontal="right" vertical="center"/>
    </xf>
    <xf numFmtId="0" fontId="22" fillId="11" borderId="41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2" fillId="0" borderId="39" xfId="0" applyFont="1" applyBorder="1" applyAlignment="1">
      <alignment vertical="center"/>
    </xf>
    <xf numFmtId="10" fontId="22" fillId="0" borderId="35" xfId="0" applyNumberFormat="1" applyFont="1" applyBorder="1" applyAlignment="1">
      <alignment horizontal="right" vertical="center"/>
    </xf>
    <xf numFmtId="0" fontId="22" fillId="0" borderId="35" xfId="0" applyFont="1" applyBorder="1" applyAlignment="1">
      <alignment vertical="center"/>
    </xf>
    <xf numFmtId="10" fontId="22" fillId="0" borderId="42" xfId="0" applyNumberFormat="1" applyFont="1" applyBorder="1" applyAlignment="1">
      <alignment horizontal="right" vertical="center"/>
    </xf>
    <xf numFmtId="0" fontId="25" fillId="11" borderId="39" xfId="0" applyFont="1" applyFill="1" applyBorder="1" applyAlignment="1">
      <alignment vertical="center"/>
    </xf>
    <xf numFmtId="10" fontId="25" fillId="11" borderId="38" xfId="0" applyNumberFormat="1" applyFont="1" applyFill="1" applyBorder="1" applyAlignment="1">
      <alignment horizontal="right" vertical="center"/>
    </xf>
    <xf numFmtId="10" fontId="25" fillId="11" borderId="43" xfId="0" applyNumberFormat="1" applyFont="1" applyFill="1" applyBorder="1" applyAlignment="1">
      <alignment horizontal="right" vertical="center"/>
    </xf>
    <xf numFmtId="0" fontId="25" fillId="11" borderId="38" xfId="0" applyFont="1" applyFill="1" applyBorder="1" applyAlignment="1">
      <alignment vertical="center"/>
    </xf>
    <xf numFmtId="10" fontId="25" fillId="11" borderId="40" xfId="0" applyNumberFormat="1" applyFont="1" applyFill="1" applyBorder="1" applyAlignment="1">
      <alignment horizontal="right" vertical="center"/>
    </xf>
    <xf numFmtId="0" fontId="22" fillId="0" borderId="37" xfId="0" applyFont="1" applyBorder="1" applyAlignment="1">
      <alignment vertical="center"/>
    </xf>
    <xf numFmtId="10" fontId="22" fillId="0" borderId="37" xfId="0" applyNumberFormat="1" applyFont="1" applyBorder="1" applyAlignment="1">
      <alignment horizontal="right" vertical="center"/>
    </xf>
    <xf numFmtId="10" fontId="22" fillId="0" borderId="44" xfId="0" applyNumberFormat="1" applyFont="1" applyBorder="1" applyAlignment="1">
      <alignment horizontal="right" vertical="center"/>
    </xf>
    <xf numFmtId="0" fontId="26" fillId="0" borderId="37" xfId="0" applyFont="1" applyBorder="1" applyAlignment="1">
      <alignment horizontal="center" vertical="center"/>
    </xf>
    <xf numFmtId="0" fontId="27" fillId="12" borderId="38" xfId="0" applyFont="1" applyFill="1" applyBorder="1" applyAlignment="1">
      <alignment vertical="center"/>
    </xf>
    <xf numFmtId="10" fontId="27" fillId="12" borderId="38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7" fillId="12" borderId="39" xfId="0" applyFont="1" applyFill="1" applyBorder="1" applyAlignment="1">
      <alignment vertical="center"/>
    </xf>
    <xf numFmtId="10" fontId="27" fillId="12" borderId="41" xfId="0" applyNumberFormat="1" applyFont="1" applyFill="1" applyBorder="1" applyAlignment="1">
      <alignment horizontal="right" vertical="center"/>
    </xf>
    <xf numFmtId="0" fontId="27" fillId="12" borderId="41" xfId="0" applyFont="1" applyFill="1" applyBorder="1" applyAlignment="1">
      <alignment vertical="center"/>
    </xf>
    <xf numFmtId="10" fontId="22" fillId="11" borderId="38" xfId="0" applyNumberFormat="1" applyFont="1" applyFill="1" applyBorder="1" applyAlignment="1">
      <alignment horizontal="right" vertical="center"/>
    </xf>
    <xf numFmtId="0" fontId="22" fillId="11" borderId="38" xfId="0" applyFont="1" applyFill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27" fillId="10" borderId="40" xfId="0" applyFont="1" applyFill="1" applyBorder="1" applyAlignment="1">
      <alignment vertical="center"/>
    </xf>
    <xf numFmtId="10" fontId="27" fillId="10" borderId="40" xfId="0" applyNumberFormat="1" applyFont="1" applyFill="1" applyBorder="1" applyAlignment="1">
      <alignment horizontal="right" vertical="center"/>
    </xf>
    <xf numFmtId="0" fontId="28" fillId="0" borderId="0" xfId="0" applyFont="1"/>
    <xf numFmtId="10" fontId="28" fillId="0" borderId="0" xfId="0" applyNumberFormat="1" applyFont="1"/>
    <xf numFmtId="0" fontId="27" fillId="10" borderId="39" xfId="0" applyFont="1" applyFill="1" applyBorder="1" applyAlignment="1">
      <alignment vertical="center"/>
    </xf>
    <xf numFmtId="0" fontId="29" fillId="10" borderId="39" xfId="0" applyFont="1" applyFill="1" applyBorder="1" applyAlignment="1">
      <alignment vertical="center"/>
    </xf>
    <xf numFmtId="10" fontId="29" fillId="10" borderId="40" xfId="0" applyNumberFormat="1" applyFont="1" applyFill="1" applyBorder="1" applyAlignment="1">
      <alignment horizontal="right" vertical="center"/>
    </xf>
    <xf numFmtId="0" fontId="29" fillId="10" borderId="40" xfId="0" applyFont="1" applyFill="1" applyBorder="1" applyAlignment="1">
      <alignment vertical="center"/>
    </xf>
    <xf numFmtId="10" fontId="29" fillId="10" borderId="39" xfId="0" applyNumberFormat="1" applyFont="1" applyFill="1" applyBorder="1" applyAlignment="1">
      <alignment horizontal="right" vertical="center"/>
    </xf>
    <xf numFmtId="10" fontId="29" fillId="10" borderId="38" xfId="0" applyNumberFormat="1" applyFont="1" applyFill="1" applyBorder="1" applyAlignment="1">
      <alignment horizontal="right" vertical="center"/>
    </xf>
    <xf numFmtId="0" fontId="29" fillId="10" borderId="41" xfId="0" applyFont="1" applyFill="1" applyBorder="1" applyAlignment="1">
      <alignment vertical="center"/>
    </xf>
    <xf numFmtId="10" fontId="29" fillId="10" borderId="41" xfId="0" applyNumberFormat="1" applyFont="1" applyFill="1" applyBorder="1" applyAlignment="1">
      <alignment horizontal="right" vertical="center"/>
    </xf>
    <xf numFmtId="10" fontId="29" fillId="10" borderId="43" xfId="0" applyNumberFormat="1" applyFont="1" applyFill="1" applyBorder="1" applyAlignment="1">
      <alignment horizontal="right" vertical="center"/>
    </xf>
    <xf numFmtId="0" fontId="29" fillId="10" borderId="43" xfId="0" applyFont="1" applyFill="1" applyBorder="1" applyAlignment="1">
      <alignment vertical="center"/>
    </xf>
    <xf numFmtId="0" fontId="25" fillId="11" borderId="40" xfId="0" applyFont="1" applyFill="1" applyBorder="1" applyAlignment="1">
      <alignment vertical="center"/>
    </xf>
    <xf numFmtId="0" fontId="25" fillId="11" borderId="43" xfId="0" applyFont="1" applyFill="1" applyBorder="1" applyAlignment="1">
      <alignment vertical="center"/>
    </xf>
    <xf numFmtId="0" fontId="30" fillId="0" borderId="0" xfId="0" applyFont="1"/>
    <xf numFmtId="0" fontId="28" fillId="0" borderId="1" xfId="0" applyFont="1" applyBorder="1"/>
    <xf numFmtId="0" fontId="31" fillId="10" borderId="1" xfId="0" applyFont="1" applyFill="1" applyBorder="1"/>
    <xf numFmtId="166" fontId="31" fillId="10" borderId="1" xfId="0" applyNumberFormat="1" applyFont="1" applyFill="1" applyBorder="1"/>
    <xf numFmtId="0" fontId="22" fillId="11" borderId="1" xfId="0" applyFont="1" applyFill="1" applyBorder="1" applyAlignment="1">
      <alignment vertical="center"/>
    </xf>
    <xf numFmtId="0" fontId="22" fillId="13" borderId="1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32" fillId="2" borderId="48" xfId="0" applyFont="1" applyFill="1" applyBorder="1" applyAlignment="1">
      <alignment horizontal="center" vertical="center"/>
    </xf>
    <xf numFmtId="0" fontId="20" fillId="0" borderId="36" xfId="0" applyFont="1" applyBorder="1"/>
    <xf numFmtId="0" fontId="20" fillId="0" borderId="4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3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0" xfId="0" applyFont="1" applyBorder="1" applyAlignment="1">
      <alignment horizontal="left"/>
    </xf>
    <xf numFmtId="0" fontId="20" fillId="0" borderId="51" xfId="0" applyFont="1" applyBorder="1" applyAlignment="1">
      <alignment horizontal="center" vertical="center"/>
    </xf>
    <xf numFmtId="0" fontId="20" fillId="0" borderId="19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52" xfId="0" applyFont="1" applyBorder="1" applyAlignment="1">
      <alignment horizontal="left"/>
    </xf>
    <xf numFmtId="0" fontId="20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left"/>
    </xf>
    <xf numFmtId="0" fontId="20" fillId="0" borderId="54" xfId="0" applyFont="1" applyBorder="1" applyAlignment="1">
      <alignment horizontal="left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2" fontId="1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8" fillId="0" borderId="6" xfId="0" applyFont="1" applyBorder="1"/>
    <xf numFmtId="2" fontId="5" fillId="9" borderId="8" xfId="0" applyNumberFormat="1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32" fillId="2" borderId="33" xfId="0" applyFont="1" applyFill="1" applyBorder="1" applyAlignment="1">
      <alignment horizontal="center" vertical="center"/>
    </xf>
    <xf numFmtId="0" fontId="8" fillId="0" borderId="34" xfId="0" applyFont="1" applyBorder="1"/>
    <xf numFmtId="0" fontId="8" fillId="0" borderId="35" xfId="0" applyFont="1" applyBorder="1"/>
    <xf numFmtId="0" fontId="32" fillId="2" borderId="45" xfId="0" applyFont="1" applyFill="1" applyBorder="1" applyAlignment="1">
      <alignment horizontal="center" vertical="center"/>
    </xf>
    <xf numFmtId="0" fontId="8" fillId="0" borderId="46" xfId="0" applyFont="1" applyBorder="1"/>
    <xf numFmtId="0" fontId="8" fillId="0" borderId="47" xfId="0" applyFont="1" applyBorder="1"/>
    <xf numFmtId="0" fontId="20" fillId="0" borderId="16" xfId="0" applyFont="1" applyBorder="1" applyAlignment="1">
      <alignment horizontal="left"/>
    </xf>
    <xf numFmtId="0" fontId="8" fillId="0" borderId="16" xfId="0" applyFont="1" applyBorder="1"/>
    <xf numFmtId="0" fontId="8" fillId="0" borderId="17" xfId="0" applyFont="1" applyBorder="1"/>
    <xf numFmtId="0" fontId="20" fillId="0" borderId="23" xfId="0" applyFont="1" applyBorder="1" applyAlignment="1">
      <alignment horizontal="left"/>
    </xf>
    <xf numFmtId="0" fontId="8" fillId="0" borderId="28" xfId="0" applyFont="1" applyBorder="1"/>
    <xf numFmtId="2" fontId="5" fillId="0" borderId="0" xfId="0" applyNumberFormat="1" applyFont="1" applyAlignment="1">
      <alignment horizontal="center"/>
    </xf>
    <xf numFmtId="0" fontId="20" fillId="9" borderId="15" xfId="0" applyFont="1" applyFill="1" applyBorder="1" applyAlignment="1">
      <alignment horizontal="center"/>
    </xf>
    <xf numFmtId="9" fontId="5" fillId="2" borderId="14" xfId="0" applyNumberFormat="1" applyFont="1" applyFill="1" applyBorder="1" applyAlignment="1">
      <alignment horizontal="center" vertical="center"/>
    </xf>
    <xf numFmtId="0" fontId="8" fillId="0" borderId="18" xfId="0" applyFont="1" applyBorder="1"/>
    <xf numFmtId="0" fontId="24" fillId="4" borderId="3" xfId="0" applyFont="1" applyFill="1" applyBorder="1" applyAlignment="1">
      <alignment vertical="center"/>
    </xf>
    <xf numFmtId="0" fontId="23" fillId="4" borderId="33" xfId="0" applyFont="1" applyFill="1" applyBorder="1" applyAlignment="1">
      <alignment horizontal="center" vertical="center"/>
    </xf>
    <xf numFmtId="0" fontId="32" fillId="9" borderId="33" xfId="0" applyFont="1" applyFill="1" applyBorder="1" applyAlignment="1">
      <alignment horizontal="left" vertical="top" wrapText="1"/>
    </xf>
  </cellXfs>
  <cellStyles count="1">
    <cellStyle name="Normal" xfId="0" builtinId="0"/>
  </cellStyles>
  <dxfs count="4">
    <dxf>
      <font>
        <i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1</xdr:row>
      <xdr:rowOff>95250</xdr:rowOff>
    </xdr:from>
    <xdr:ext cx="6877050" cy="981075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667500" y="95250"/>
          <a:ext cx="5962650" cy="8191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3175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pt-BR" sz="1100"/>
        </a:p>
      </xdr:txBody>
    </xdr:sp>
    <xdr:clientData fLocksWithSheet="0"/>
  </xdr:oneCellAnchor>
  <xdr:oneCellAnchor>
    <xdr:from>
      <xdr:col>8</xdr:col>
      <xdr:colOff>19050</xdr:colOff>
      <xdr:row>6</xdr:row>
      <xdr:rowOff>180975</xdr:rowOff>
    </xdr:from>
    <xdr:ext cx="0" cy="0"/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>
          <a:off x="7515225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8</xdr:col>
      <xdr:colOff>19050</xdr:colOff>
      <xdr:row>6</xdr:row>
      <xdr:rowOff>180975</xdr:rowOff>
    </xdr:from>
    <xdr:ext cx="0" cy="0"/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7515225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1</xdr:col>
      <xdr:colOff>9525</xdr:colOff>
      <xdr:row>3</xdr:row>
      <xdr:rowOff>0</xdr:rowOff>
    </xdr:from>
    <xdr:ext cx="742950" cy="17145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4775" y="381000"/>
          <a:ext cx="742950" cy="180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000" b="1">
              <a:solidFill>
                <a:schemeClr val="tx1"/>
              </a:solidFill>
            </a:rPr>
            <a:t>Cliente</a:t>
          </a:r>
        </a:p>
      </xdr:txBody>
    </xdr:sp>
    <xdr:clientData fLocksWithSheet="0"/>
  </xdr:oneCellAnchor>
  <xdr:oneCellAnchor>
    <xdr:from>
      <xdr:col>1</xdr:col>
      <xdr:colOff>9525</xdr:colOff>
      <xdr:row>4</xdr:row>
      <xdr:rowOff>0</xdr:rowOff>
    </xdr:from>
    <xdr:ext cx="742950" cy="333375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04775" y="638175"/>
          <a:ext cx="742950" cy="180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000" b="1">
              <a:solidFill>
                <a:schemeClr val="tx1"/>
              </a:solidFill>
            </a:rPr>
            <a:t>Bairro</a:t>
          </a:r>
        </a:p>
      </xdr:txBody>
    </xdr:sp>
    <xdr:clientData fLocksWithSheet="0"/>
  </xdr:oneCellAnchor>
  <xdr:oneCellAnchor>
    <xdr:from>
      <xdr:col>2</xdr:col>
      <xdr:colOff>1285875</xdr:colOff>
      <xdr:row>5</xdr:row>
      <xdr:rowOff>9525</xdr:rowOff>
    </xdr:from>
    <xdr:ext cx="742950" cy="17145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419350" y="647700"/>
          <a:ext cx="742950" cy="180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>
              <a:solidFill>
                <a:schemeClr val="tx1"/>
              </a:solidFill>
            </a:rPr>
            <a:t>Cidade</a:t>
          </a:r>
        </a:p>
      </xdr:txBody>
    </xdr:sp>
    <xdr:clientData fLocksWithSheet="0"/>
  </xdr:oneCellAnchor>
  <xdr:oneCellAnchor>
    <xdr:from>
      <xdr:col>4</xdr:col>
      <xdr:colOff>152400</xdr:colOff>
      <xdr:row>4</xdr:row>
      <xdr:rowOff>0</xdr:rowOff>
    </xdr:from>
    <xdr:ext cx="352425" cy="333375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181600" y="638175"/>
          <a:ext cx="360000" cy="180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000" b="1">
              <a:solidFill>
                <a:schemeClr val="tx1"/>
              </a:solidFill>
            </a:rPr>
            <a:t>UF</a:t>
          </a:r>
        </a:p>
      </xdr:txBody>
    </xdr:sp>
    <xdr:clientData fLocksWithSheet="0"/>
  </xdr:oneCellAnchor>
  <xdr:oneCellAnchor>
    <xdr:from>
      <xdr:col>2</xdr:col>
      <xdr:colOff>2400300</xdr:colOff>
      <xdr:row>2</xdr:row>
      <xdr:rowOff>190500</xdr:rowOff>
    </xdr:from>
    <xdr:ext cx="533400" cy="180975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533775" y="371475"/>
          <a:ext cx="540000" cy="180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>
              <a:solidFill>
                <a:schemeClr val="tx1"/>
              </a:solidFill>
            </a:rPr>
            <a:t>CNPJ</a:t>
          </a:r>
        </a:p>
      </xdr:txBody>
    </xdr:sp>
    <xdr:clientData fLocksWithSheet="0"/>
  </xdr:oneCellAnchor>
  <xdr:oneCellAnchor>
    <xdr:from>
      <xdr:col>1</xdr:col>
      <xdr:colOff>9525</xdr:colOff>
      <xdr:row>1</xdr:row>
      <xdr:rowOff>171450</xdr:rowOff>
    </xdr:from>
    <xdr:ext cx="7038975" cy="13335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04775" y="171450"/>
          <a:ext cx="6451575" cy="1333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000" b="1">
              <a:solidFill>
                <a:schemeClr val="tx1"/>
              </a:solidFill>
            </a:rPr>
            <a:t>Dados do Cliente</a:t>
          </a:r>
        </a:p>
      </xdr:txBody>
    </xdr:sp>
    <xdr:clientData fLocksWithSheet="0"/>
  </xdr:oneCellAnchor>
  <xdr:oneCellAnchor>
    <xdr:from>
      <xdr:col>0</xdr:col>
      <xdr:colOff>76200</xdr:colOff>
      <xdr:row>1</xdr:row>
      <xdr:rowOff>95250</xdr:rowOff>
    </xdr:from>
    <xdr:ext cx="7143750" cy="981075"/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6200" y="95250"/>
          <a:ext cx="6562724" cy="819150"/>
        </a:xfrm>
        <a:prstGeom prst="rect">
          <a:avLst/>
        </a:prstGeom>
        <a:noFill/>
        <a:ln w="3175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pt-BR" sz="1100"/>
        </a:p>
      </xdr:txBody>
    </xdr:sp>
    <xdr:clientData fLocksWithSheet="0"/>
  </xdr:oneCellAnchor>
  <xdr:oneCellAnchor>
    <xdr:from>
      <xdr:col>0</xdr:col>
      <xdr:colOff>57150</xdr:colOff>
      <xdr:row>6</xdr:row>
      <xdr:rowOff>133350</xdr:rowOff>
    </xdr:from>
    <xdr:ext cx="14106525" cy="1504950"/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6674" y="981075"/>
          <a:ext cx="12601575" cy="1352550"/>
        </a:xfrm>
        <a:prstGeom prst="rect">
          <a:avLst/>
        </a:prstGeom>
        <a:noFill/>
        <a:ln w="3175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pt-BR" sz="1100"/>
        </a:p>
      </xdr:txBody>
    </xdr:sp>
    <xdr:clientData fLocksWithSheet="0"/>
  </xdr:oneCellAnchor>
  <xdr:oneCellAnchor>
    <xdr:from>
      <xdr:col>1</xdr:col>
      <xdr:colOff>771525</xdr:colOff>
      <xdr:row>2</xdr:row>
      <xdr:rowOff>190500</xdr:rowOff>
    </xdr:from>
    <xdr:ext cx="2590800" cy="20955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876300" y="371475"/>
          <a:ext cx="2592000" cy="2095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endParaRPr lang="pt-BR" sz="1000" b="1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2</xdr:col>
      <xdr:colOff>2981325</xdr:colOff>
      <xdr:row>2</xdr:row>
      <xdr:rowOff>171450</xdr:rowOff>
    </xdr:from>
    <xdr:ext cx="1733550" cy="20955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4124325" y="352424"/>
          <a:ext cx="1724025" cy="2190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endParaRPr lang="pt-BR" sz="1000" b="1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1</xdr:col>
      <xdr:colOff>771525</xdr:colOff>
      <xdr:row>4</xdr:row>
      <xdr:rowOff>0</xdr:rowOff>
    </xdr:from>
    <xdr:ext cx="1457325" cy="352425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866775" y="638175"/>
          <a:ext cx="1457325" cy="190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endParaRPr lang="pt-BR" sz="1000" b="1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2</xdr:col>
      <xdr:colOff>2066925</xdr:colOff>
      <xdr:row>4</xdr:row>
      <xdr:rowOff>0</xdr:rowOff>
    </xdr:from>
    <xdr:ext cx="1666875" cy="38100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3209926" y="638175"/>
          <a:ext cx="1657350" cy="21907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endParaRPr lang="pt-BR" sz="1000" b="1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6</xdr:row>
      <xdr:rowOff>171450</xdr:rowOff>
    </xdr:from>
    <xdr:ext cx="952500" cy="1152525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149225" y="1007533"/>
          <a:ext cx="959908" cy="117686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200" b="1">
              <a:solidFill>
                <a:schemeClr val="tx1"/>
              </a:solidFill>
            </a:rPr>
            <a:t>Tabela 130 SET/2026</a:t>
          </a:r>
        </a:p>
      </xdr:txBody>
    </xdr:sp>
    <xdr:clientData fLocksWithSheet="0"/>
  </xdr:oneCellAnchor>
  <xdr:oneCellAnchor>
    <xdr:from>
      <xdr:col>2</xdr:col>
      <xdr:colOff>0</xdr:colOff>
      <xdr:row>10</xdr:row>
      <xdr:rowOff>66675</xdr:rowOff>
    </xdr:from>
    <xdr:ext cx="3400425" cy="19050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165860" y="1729740"/>
          <a:ext cx="3497580" cy="1905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050" b="1">
              <a:solidFill>
                <a:schemeClr val="bg1"/>
              </a:solidFill>
            </a:rPr>
            <a:t>Valor Total do Pedido</a:t>
          </a:r>
        </a:p>
      </xdr:txBody>
    </xdr:sp>
    <xdr:clientData fLocksWithSheet="0"/>
  </xdr:oneCellAnchor>
  <xdr:oneCellAnchor>
    <xdr:from>
      <xdr:col>8</xdr:col>
      <xdr:colOff>0</xdr:colOff>
      <xdr:row>2</xdr:row>
      <xdr:rowOff>66675</xdr:rowOff>
    </xdr:from>
    <xdr:ext cx="3333750" cy="62865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8</xdr:row>
      <xdr:rowOff>19050</xdr:rowOff>
    </xdr:from>
    <xdr:ext cx="733425" cy="190500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7448550" cy="409575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33130" y="34373"/>
          <a:ext cx="7648125" cy="411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/>
          <a:r>
            <a:rPr lang="pt-BR" sz="3200" b="1">
              <a:solidFill>
                <a:schemeClr val="bg1">
                  <a:lumMod val="50000"/>
                </a:schemeClr>
              </a:solidFill>
            </a:rPr>
            <a:t>TABELA 130 - SETEMBRO 2026</a:t>
          </a:r>
        </a:p>
      </xdr:txBody>
    </xdr:sp>
    <xdr:clientData fLocksWithSheet="0"/>
  </xdr:oneCellAnchor>
  <xdr:oneCellAnchor>
    <xdr:from>
      <xdr:col>6</xdr:col>
      <xdr:colOff>247650</xdr:colOff>
      <xdr:row>0</xdr:row>
      <xdr:rowOff>0</xdr:rowOff>
    </xdr:from>
    <xdr:ext cx="1038225" cy="4953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showGridLines="0" workbookViewId="0"/>
  </sheetViews>
  <sheetFormatPr defaultColWidth="14.390625" defaultRowHeight="15" customHeight="1" x14ac:dyDescent="0.2"/>
  <cols>
    <col min="1" max="14" width="8.7421875" customWidth="1"/>
    <col min="15" max="15" width="25.55859375" customWidth="1"/>
    <col min="16" max="17" width="9.14453125" customWidth="1"/>
  </cols>
  <sheetData>
    <row r="1" spans="1:17" ht="14.25" customHeight="1" x14ac:dyDescent="0.2"/>
    <row r="2" spans="1:17" ht="14.25" customHeight="1" x14ac:dyDescent="0.25">
      <c r="A2" s="165" t="s">
        <v>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3" spans="1:17" ht="14.25" customHeight="1" x14ac:dyDescent="0.2"/>
    <row r="4" spans="1:17" ht="14.25" customHeight="1" x14ac:dyDescent="0.2">
      <c r="A4" s="167" t="s">
        <v>1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ht="14.25" customHeight="1" x14ac:dyDescent="0.2">
      <c r="A5" s="166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ht="14.25" customHeight="1" x14ac:dyDescent="0.25">
      <c r="A6" s="167" t="s">
        <v>2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"/>
      <c r="Q6" s="1"/>
    </row>
    <row r="7" spans="1:17" ht="14.25" customHeight="1" x14ac:dyDescent="0.25">
      <c r="A7" s="166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"/>
      <c r="Q7" s="1"/>
    </row>
    <row r="8" spans="1:17" ht="14.25" customHeight="1" x14ac:dyDescent="0.2"/>
    <row r="9" spans="1:17" ht="14.25" customHeight="1" x14ac:dyDescent="0.2"/>
    <row r="10" spans="1:17" ht="14.25" customHeight="1" x14ac:dyDescent="0.2"/>
    <row r="11" spans="1:17" ht="14.25" customHeight="1" x14ac:dyDescent="0.2"/>
    <row r="12" spans="1:17" ht="14.25" customHeight="1" x14ac:dyDescent="0.2"/>
    <row r="13" spans="1:17" ht="14.25" customHeight="1" x14ac:dyDescent="0.2"/>
    <row r="14" spans="1:17" ht="14.25" customHeight="1" x14ac:dyDescent="0.2"/>
    <row r="15" spans="1:17" ht="14.25" customHeight="1" x14ac:dyDescent="0.2"/>
    <row r="16" spans="1:17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mergeCells count="3">
    <mergeCell ref="A2:P2"/>
    <mergeCell ref="A4:Q5"/>
    <mergeCell ref="A6:O7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22"/>
  <sheetViews>
    <sheetView showGridLines="0" tabSelected="1" workbookViewId="0"/>
  </sheetViews>
  <sheetFormatPr defaultColWidth="14.390625" defaultRowHeight="15" customHeight="1" x14ac:dyDescent="0.2"/>
  <cols>
    <col min="1" max="1" width="1.4765625" customWidth="1"/>
    <col min="2" max="2" width="15.6015625" customWidth="1"/>
    <col min="3" max="3" width="50.984375" customWidth="1"/>
    <col min="4" max="4" width="11.703125" customWidth="1"/>
    <col min="5" max="5" width="10.4921875" customWidth="1"/>
    <col min="6" max="6" width="12.64453125" customWidth="1"/>
    <col min="7" max="7" width="14.2578125" customWidth="1"/>
    <col min="8" max="8" width="6.3203125" customWidth="1"/>
    <col min="9" max="9" width="14.9296875" customWidth="1"/>
    <col min="10" max="10" width="5.109375" hidden="1" customWidth="1"/>
    <col min="11" max="11" width="6.72265625" hidden="1" customWidth="1"/>
    <col min="12" max="12" width="10.76171875" hidden="1" customWidth="1"/>
    <col min="13" max="13" width="10.625" hidden="1" customWidth="1"/>
    <col min="14" max="14" width="16.41015625" customWidth="1"/>
    <col min="15" max="16" width="12.10546875" hidden="1" customWidth="1"/>
    <col min="17" max="17" width="2.015625" customWidth="1"/>
    <col min="18" max="18" width="9.14453125" customWidth="1"/>
    <col min="19" max="19" width="6.45703125" hidden="1" customWidth="1"/>
    <col min="20" max="20" width="4.03515625" hidden="1" customWidth="1"/>
    <col min="21" max="21" width="4.70703125" hidden="1" customWidth="1"/>
  </cols>
  <sheetData>
    <row r="1" spans="1:21" ht="20.25" hidden="1" customHeight="1" x14ac:dyDescent="0.2">
      <c r="A1" s="2"/>
      <c r="B1" s="171"/>
      <c r="C1" s="166"/>
      <c r="D1" s="166"/>
      <c r="E1" s="166"/>
      <c r="F1" s="166"/>
      <c r="G1" s="166"/>
      <c r="H1" s="3"/>
      <c r="I1" s="4"/>
      <c r="J1" s="172"/>
      <c r="K1" s="166"/>
      <c r="L1" s="166"/>
      <c r="M1" s="166"/>
      <c r="N1" s="3"/>
      <c r="O1" s="3"/>
      <c r="P1" s="3"/>
      <c r="Q1" s="2"/>
      <c r="R1" s="2"/>
      <c r="S1" s="2"/>
      <c r="T1" s="2"/>
      <c r="U1" s="2"/>
    </row>
    <row r="2" spans="1:21" ht="14.25" customHeight="1" x14ac:dyDescent="0.2">
      <c r="A2" s="2"/>
      <c r="B2" s="6"/>
      <c r="C2" s="6"/>
      <c r="D2" s="6"/>
      <c r="E2" s="6"/>
      <c r="F2" s="6"/>
      <c r="G2" s="6"/>
      <c r="H2" s="2"/>
      <c r="I2" s="7"/>
      <c r="J2" s="8"/>
      <c r="K2" s="8"/>
      <c r="L2" s="8"/>
      <c r="M2" s="8"/>
      <c r="N2" s="2"/>
      <c r="O2" s="2"/>
      <c r="P2" s="2"/>
      <c r="Q2" s="2"/>
      <c r="R2" s="2"/>
      <c r="S2" s="9" t="s">
        <v>3</v>
      </c>
      <c r="T2" s="2">
        <v>119</v>
      </c>
      <c r="U2" s="2" t="s">
        <v>4</v>
      </c>
    </row>
    <row r="3" spans="1:21" ht="15.75" customHeight="1" x14ac:dyDescent="0.2">
      <c r="A3" s="2"/>
      <c r="B3" s="6"/>
      <c r="C3" s="6"/>
      <c r="D3" s="6"/>
      <c r="E3" s="6"/>
      <c r="F3" s="6"/>
      <c r="G3" s="6"/>
      <c r="H3" s="2"/>
      <c r="I3" s="7"/>
      <c r="J3" s="8"/>
      <c r="K3" s="8"/>
      <c r="L3" s="8"/>
      <c r="M3" s="8"/>
      <c r="N3" s="2"/>
      <c r="O3" s="2"/>
      <c r="P3" s="2"/>
      <c r="Q3" s="2"/>
      <c r="R3" s="2"/>
      <c r="S3" s="9">
        <v>14</v>
      </c>
      <c r="T3" s="2"/>
      <c r="U3" s="2" t="s">
        <v>5</v>
      </c>
    </row>
    <row r="4" spans="1:21" ht="20.25" customHeight="1" x14ac:dyDescent="0.2">
      <c r="A4" s="2"/>
      <c r="B4" s="6"/>
      <c r="C4" s="6"/>
      <c r="D4" s="6"/>
      <c r="E4" s="6"/>
      <c r="F4" s="2"/>
      <c r="G4" s="6"/>
      <c r="H4" s="2"/>
      <c r="I4" s="7"/>
      <c r="J4" s="8"/>
      <c r="K4" s="8"/>
      <c r="L4" s="8"/>
      <c r="M4" s="8"/>
      <c r="N4" s="2"/>
      <c r="O4" s="2"/>
      <c r="P4" s="2"/>
      <c r="Q4" s="2"/>
      <c r="R4" s="2"/>
      <c r="S4" s="9">
        <v>21</v>
      </c>
      <c r="T4" s="2"/>
      <c r="U4" s="2" t="s">
        <v>6</v>
      </c>
    </row>
    <row r="5" spans="1:21" ht="12.75" hidden="1" customHeight="1" x14ac:dyDescent="0.2">
      <c r="A5" s="2"/>
      <c r="B5" s="6"/>
      <c r="C5" s="6"/>
      <c r="D5" s="6"/>
      <c r="E5" s="6"/>
      <c r="F5" s="6"/>
      <c r="G5" s="6"/>
      <c r="H5" s="2"/>
      <c r="I5" s="7"/>
      <c r="J5" s="8"/>
      <c r="K5" s="8"/>
      <c r="L5" s="8"/>
      <c r="M5" s="8"/>
      <c r="N5" s="2"/>
      <c r="O5" s="2"/>
      <c r="P5" s="2"/>
      <c r="Q5" s="2"/>
      <c r="R5" s="2"/>
      <c r="S5" s="9">
        <v>28</v>
      </c>
      <c r="T5" s="2"/>
      <c r="U5" s="2" t="s">
        <v>7</v>
      </c>
    </row>
    <row r="6" spans="1:21" ht="16.5" customHeight="1" x14ac:dyDescent="0.2">
      <c r="A6" s="2"/>
      <c r="B6" s="6"/>
      <c r="C6" s="6"/>
      <c r="D6" s="2"/>
      <c r="E6" s="2"/>
      <c r="F6" s="10" t="s">
        <v>8</v>
      </c>
      <c r="G6" s="6"/>
      <c r="H6" s="2"/>
      <c r="I6" s="7"/>
      <c r="J6" s="8"/>
      <c r="K6" s="8"/>
      <c r="L6" s="8"/>
      <c r="M6" s="8"/>
      <c r="N6" s="2"/>
      <c r="O6" s="2"/>
      <c r="P6" s="2"/>
      <c r="Q6" s="2"/>
      <c r="R6" s="2"/>
      <c r="S6" s="9">
        <v>35</v>
      </c>
      <c r="T6" s="2"/>
      <c r="U6" s="2" t="s">
        <v>9</v>
      </c>
    </row>
    <row r="7" spans="1:21" ht="21.75" customHeight="1" x14ac:dyDescent="0.2">
      <c r="A7" s="2"/>
      <c r="B7" s="7"/>
      <c r="C7" s="173"/>
      <c r="D7" s="169"/>
      <c r="E7" s="169"/>
      <c r="F7" s="169"/>
      <c r="G7" s="170"/>
      <c r="H7" s="11"/>
      <c r="I7" s="12"/>
      <c r="J7" s="11"/>
      <c r="K7" s="11"/>
      <c r="L7" s="11"/>
      <c r="M7" s="13"/>
      <c r="N7" s="2"/>
      <c r="O7" s="2"/>
      <c r="P7" s="2"/>
      <c r="Q7" s="2"/>
      <c r="R7" s="2"/>
      <c r="S7" s="9">
        <v>42</v>
      </c>
      <c r="T7" s="2"/>
      <c r="U7" s="2" t="s">
        <v>10</v>
      </c>
    </row>
    <row r="8" spans="1:21" ht="12.75" customHeight="1" x14ac:dyDescent="0.2">
      <c r="A8" s="2"/>
      <c r="B8" s="7"/>
      <c r="C8" s="14"/>
      <c r="D8" s="14"/>
      <c r="E8" s="14"/>
      <c r="F8" s="14"/>
      <c r="G8" s="174" t="s">
        <v>11</v>
      </c>
      <c r="H8" s="169"/>
      <c r="I8" s="169"/>
      <c r="J8" s="169"/>
      <c r="K8" s="169"/>
      <c r="L8" s="169"/>
      <c r="M8" s="169"/>
      <c r="N8" s="170"/>
      <c r="O8" s="15"/>
      <c r="P8" s="15"/>
      <c r="Q8" s="2"/>
      <c r="R8" s="2"/>
      <c r="S8" s="9">
        <v>49</v>
      </c>
      <c r="T8" s="2"/>
      <c r="U8" s="2" t="s">
        <v>12</v>
      </c>
    </row>
    <row r="9" spans="1:21" ht="15" customHeight="1" x14ac:dyDescent="0.2">
      <c r="A9" s="2"/>
      <c r="B9" s="7"/>
      <c r="C9" s="16">
        <v>119</v>
      </c>
      <c r="D9" s="14"/>
      <c r="E9" s="2"/>
      <c r="F9" s="17" t="s">
        <v>3</v>
      </c>
      <c r="G9" s="168" t="s">
        <v>13</v>
      </c>
      <c r="H9" s="169"/>
      <c r="I9" s="169"/>
      <c r="J9" s="169"/>
      <c r="K9" s="169"/>
      <c r="L9" s="169"/>
      <c r="M9" s="169"/>
      <c r="N9" s="170"/>
      <c r="O9" s="2"/>
      <c r="P9" s="2"/>
      <c r="Q9" s="2"/>
      <c r="R9" s="2"/>
      <c r="S9" s="9">
        <v>56</v>
      </c>
      <c r="T9" s="2"/>
      <c r="U9" s="2" t="s">
        <v>14</v>
      </c>
    </row>
    <row r="10" spans="1:21" ht="12.75" customHeight="1" x14ac:dyDescent="0.2">
      <c r="A10" s="2"/>
      <c r="B10" s="7"/>
      <c r="C10" s="14"/>
      <c r="D10" s="14"/>
      <c r="E10" s="5"/>
      <c r="F10" s="15"/>
      <c r="G10" s="168" t="s">
        <v>15</v>
      </c>
      <c r="H10" s="169"/>
      <c r="I10" s="169"/>
      <c r="J10" s="169"/>
      <c r="K10" s="169"/>
      <c r="L10" s="169"/>
      <c r="M10" s="169"/>
      <c r="N10" s="170"/>
      <c r="O10" s="3"/>
      <c r="P10" s="3"/>
      <c r="Q10" s="2"/>
      <c r="R10" s="2"/>
      <c r="S10" s="9">
        <v>60</v>
      </c>
      <c r="T10" s="2"/>
      <c r="U10" s="2" t="s">
        <v>8</v>
      </c>
    </row>
    <row r="11" spans="1:21" ht="18" customHeight="1" x14ac:dyDescent="0.2">
      <c r="A11" s="2"/>
      <c r="B11" s="7"/>
      <c r="C11" s="3"/>
      <c r="D11" s="3"/>
      <c r="E11" s="5"/>
      <c r="F11" s="15"/>
      <c r="G11" s="18" t="s">
        <v>16</v>
      </c>
      <c r="H11" s="19"/>
      <c r="I11" s="20"/>
      <c r="J11" s="21"/>
      <c r="K11" s="22"/>
      <c r="L11" s="22"/>
      <c r="M11" s="22"/>
      <c r="N11" s="22"/>
      <c r="O11" s="23"/>
      <c r="P11" s="23"/>
      <c r="Q11" s="2"/>
      <c r="R11" s="2"/>
      <c r="S11" s="9">
        <v>75</v>
      </c>
      <c r="T11" s="2"/>
      <c r="U11" s="2" t="s">
        <v>17</v>
      </c>
    </row>
    <row r="12" spans="1:21" ht="16.5" customHeight="1" x14ac:dyDescent="0.2">
      <c r="A12" s="2"/>
      <c r="B12" s="7"/>
      <c r="C12" s="24">
        <f>SUM($N$21:$N$328)</f>
        <v>0</v>
      </c>
      <c r="D12" s="14"/>
      <c r="E12" s="15"/>
      <c r="F12" s="15"/>
      <c r="G12" s="22"/>
      <c r="H12" s="21"/>
      <c r="I12" s="20"/>
      <c r="J12" s="21"/>
      <c r="K12" s="22"/>
      <c r="L12" s="22"/>
      <c r="M12" s="22"/>
      <c r="N12" s="22"/>
      <c r="O12" s="23"/>
      <c r="P12" s="23"/>
      <c r="Q12" s="2"/>
      <c r="R12" s="2"/>
      <c r="S12" s="9">
        <v>90</v>
      </c>
      <c r="T12" s="2"/>
      <c r="U12" s="2" t="s">
        <v>18</v>
      </c>
    </row>
    <row r="13" spans="1:21" ht="12.75" customHeight="1" x14ac:dyDescent="0.2">
      <c r="A13" s="2"/>
      <c r="B13" s="7"/>
      <c r="C13" s="3"/>
      <c r="D13" s="14"/>
      <c r="E13" s="15"/>
      <c r="F13" s="15"/>
      <c r="G13" s="25"/>
      <c r="H13" s="21"/>
      <c r="I13" s="20"/>
      <c r="J13" s="21"/>
      <c r="K13" s="22"/>
      <c r="L13" s="22"/>
      <c r="M13" s="22"/>
      <c r="N13" s="22"/>
      <c r="O13" s="23"/>
      <c r="P13" s="23"/>
      <c r="Q13" s="2"/>
      <c r="R13" s="2"/>
      <c r="S13" s="2"/>
      <c r="T13" s="2"/>
      <c r="U13" s="2" t="s">
        <v>19</v>
      </c>
    </row>
    <row r="14" spans="1:21" ht="12.75" customHeight="1" x14ac:dyDescent="0.2">
      <c r="A14" s="2"/>
      <c r="B14" s="7"/>
      <c r="C14" s="26"/>
      <c r="D14" s="14"/>
      <c r="E14" s="15"/>
      <c r="F14" s="15"/>
      <c r="G14" s="25"/>
      <c r="H14" s="21"/>
      <c r="I14" s="20"/>
      <c r="J14" s="21"/>
      <c r="K14" s="22"/>
      <c r="L14" s="22"/>
      <c r="M14" s="22"/>
      <c r="N14" s="22"/>
      <c r="O14" s="23"/>
      <c r="P14" s="23"/>
      <c r="Q14" s="2"/>
      <c r="R14" s="2"/>
      <c r="S14" s="2"/>
      <c r="T14" s="2"/>
      <c r="U14" s="2" t="s">
        <v>20</v>
      </c>
    </row>
    <row r="15" spans="1:21" ht="14.25" customHeight="1" x14ac:dyDescent="0.2">
      <c r="A15" s="2"/>
      <c r="B15" s="7"/>
      <c r="C15" s="14"/>
      <c r="D15" s="14"/>
      <c r="E15" s="5"/>
      <c r="F15" s="15"/>
      <c r="G15" s="15"/>
      <c r="H15" s="27"/>
      <c r="I15" s="28"/>
      <c r="J15" s="27"/>
      <c r="K15" s="3"/>
      <c r="L15" s="3"/>
      <c r="M15" s="3"/>
      <c r="N15" s="3"/>
      <c r="O15" s="3"/>
      <c r="P15" s="3"/>
      <c r="Q15" s="2"/>
      <c r="R15" s="2"/>
      <c r="S15" s="2"/>
      <c r="T15" s="2"/>
      <c r="U15" s="2" t="s">
        <v>21</v>
      </c>
    </row>
    <row r="16" spans="1:21" ht="3" customHeight="1" x14ac:dyDescent="0.2">
      <c r="A16" s="2"/>
      <c r="B16" s="7"/>
      <c r="C16" s="14"/>
      <c r="D16" s="14"/>
      <c r="E16" s="15"/>
      <c r="F16" s="15"/>
      <c r="G16" s="15"/>
      <c r="H16" s="27"/>
      <c r="I16" s="28"/>
      <c r="J16" s="27"/>
      <c r="K16" s="27"/>
      <c r="L16" s="27"/>
      <c r="M16" s="29"/>
      <c r="N16" s="3"/>
      <c r="O16" s="3"/>
      <c r="P16" s="3"/>
      <c r="Q16" s="2"/>
      <c r="R16" s="2"/>
      <c r="S16" s="2"/>
      <c r="T16" s="2"/>
      <c r="U16" s="2" t="s">
        <v>22</v>
      </c>
    </row>
    <row r="17" spans="1:21" ht="16.5" hidden="1" customHeight="1" x14ac:dyDescent="0.2">
      <c r="A17" s="2"/>
      <c r="B17" s="7"/>
      <c r="C17" s="14"/>
      <c r="D17" s="14"/>
      <c r="E17" s="5"/>
      <c r="F17" s="15"/>
      <c r="G17" s="15"/>
      <c r="H17" s="27"/>
      <c r="I17" s="28"/>
      <c r="J17" s="27"/>
      <c r="K17" s="27"/>
      <c r="L17" s="27"/>
      <c r="M17" s="29"/>
      <c r="N17" s="3"/>
      <c r="O17" s="3"/>
      <c r="P17" s="3"/>
      <c r="Q17" s="2"/>
      <c r="R17" s="2"/>
      <c r="S17" s="2"/>
      <c r="T17" s="2"/>
      <c r="U17" s="2" t="s">
        <v>23</v>
      </c>
    </row>
    <row r="18" spans="1:21" ht="7.5" hidden="1" customHeight="1" x14ac:dyDescent="0.2">
      <c r="A18" s="2"/>
      <c r="B18" s="7"/>
      <c r="C18" s="14"/>
      <c r="D18" s="14"/>
      <c r="E18" s="15"/>
      <c r="F18" s="15"/>
      <c r="G18" s="15"/>
      <c r="H18" s="27"/>
      <c r="I18" s="28"/>
      <c r="J18" s="27"/>
      <c r="K18" s="27"/>
      <c r="L18" s="27"/>
      <c r="M18" s="29"/>
      <c r="N18" s="3"/>
      <c r="O18" s="3"/>
      <c r="P18" s="3"/>
      <c r="Q18" s="2"/>
      <c r="R18" s="2"/>
      <c r="S18" s="2"/>
      <c r="T18" s="2"/>
      <c r="U18" s="2" t="s">
        <v>24</v>
      </c>
    </row>
    <row r="19" spans="1:21" ht="8.25" hidden="1" customHeight="1" x14ac:dyDescent="0.2">
      <c r="A19" s="2"/>
      <c r="B19" s="2"/>
      <c r="C19" s="2"/>
      <c r="D19" s="2"/>
      <c r="E19" s="8"/>
      <c r="F19" s="2"/>
      <c r="G19" s="2"/>
      <c r="H19" s="2"/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25</v>
      </c>
    </row>
    <row r="20" spans="1:21" ht="12.75" customHeight="1" x14ac:dyDescent="0.2">
      <c r="A20" s="2"/>
      <c r="B20" s="30" t="s">
        <v>26</v>
      </c>
      <c r="C20" s="30" t="s">
        <v>27</v>
      </c>
      <c r="D20" s="30" t="s">
        <v>28</v>
      </c>
      <c r="E20" s="30" t="s">
        <v>29</v>
      </c>
      <c r="F20" s="30" t="s">
        <v>30</v>
      </c>
      <c r="G20" s="30" t="s">
        <v>31</v>
      </c>
      <c r="H20" s="30" t="s">
        <v>32</v>
      </c>
      <c r="I20" s="30" t="s">
        <v>33</v>
      </c>
      <c r="J20" s="30" t="s">
        <v>34</v>
      </c>
      <c r="K20" s="30" t="s">
        <v>35</v>
      </c>
      <c r="L20" s="30" t="s">
        <v>36</v>
      </c>
      <c r="M20" s="30" t="s">
        <v>37</v>
      </c>
      <c r="N20" s="30" t="s">
        <v>38</v>
      </c>
      <c r="O20" s="30" t="s">
        <v>39</v>
      </c>
      <c r="P20" s="30" t="s">
        <v>40</v>
      </c>
      <c r="Q20" s="2"/>
      <c r="R20" s="2"/>
      <c r="S20" s="2"/>
      <c r="T20" s="2"/>
      <c r="U20" s="2" t="s">
        <v>41</v>
      </c>
    </row>
    <row r="21" spans="1:21" ht="12.75" customHeight="1" x14ac:dyDescent="0.2">
      <c r="A21" s="2"/>
      <c r="B21" s="31"/>
      <c r="C21" s="32" t="str">
        <f>IFERROR((IF(B21="","",IF($F$6="","Informar UF / Tabela / Prazo de Pagamento",IF($F$9="","Informar UF / Tabela / Prazo de Pagamento",IF($C$9="","Informar UF / Tabela / Prazo de Pagamento",VLOOKUP(B21,'Tabela 130 '!$A$5:$T$1001,2,FALSE)))))),"REF. NÃO CADASTRADA NA TABELA")</f>
        <v/>
      </c>
      <c r="D21" s="33" t="str">
        <f>IF('FOLHA DE PEDIDO '!B21="","",IF(C21="REF. NÃO CADASTRADA NA TABELA","",VLOOKUP(B21,'Tabela 130 '!$A$5:$AI$801,3,FALSE)))</f>
        <v/>
      </c>
      <c r="E21" s="34"/>
      <c r="F21" s="34"/>
      <c r="G21" s="35" t="str">
        <f>IFERROR(IF(C21="REF. NÃO CADASTRADA NA TABELA","",IF($C$9="","",IF($F$9="","",IF(B21="","",IF($C$9=119,VLOOKUP(B21,'Tabela 130 '!$A$5:$T$2711,MATCH($F$9,'Tabela 130 '!$A$5:$T$5,0),FALSE),IF($C$9=553,VLOOKUP(B21,#REF!,MATCH($F$9,#REF!,0),FALSE),IF($C$9=552,VLOOKUP(B21,#REF!,MATCH($F$9,#REF!,0),FALSE),IF($C$9=551,VLOOKUP(B21,#REF!,MATCH($F$9,#REF!,0),FALSE))))))))),"REF. NÃO CADASTRADA NA TABELA")</f>
        <v/>
      </c>
      <c r="H21" s="36">
        <v>0.2</v>
      </c>
      <c r="I21" s="37" t="str">
        <f t="shared" ref="I21:I328" si="0">IFERROR(IF(B21=0,"",(G21-(G21*H21))),"")</f>
        <v/>
      </c>
      <c r="J21" s="33" t="str">
        <f t="shared" ref="J21:J328" si="1">IF(B21="","",IF(C21="REF. NÃO CADASTRADA NA TABELA","",VLOOKUP(B21,#REF!,7,FALSE)))</f>
        <v/>
      </c>
      <c r="K21" s="38" t="str">
        <f>IF($F$6="","",IF(B21="","",IF(C21="REF. NÃO CADASTRADA NA TABELA","",IFERROR(VLOOKUP(B21,#REF!,VLOOKUP($F$6,'BASE CONTÁBIL'!N:O,2,FALSE),FALSE),0))))</f>
        <v/>
      </c>
      <c r="L21" s="35" t="str">
        <f t="shared" ref="L21:L328" si="2">IFERROR(I21*(1+J21%),"")</f>
        <v/>
      </c>
      <c r="M21" s="35" t="str">
        <f t="shared" ref="M21:M328" si="3">IFERROR(IF(B21="","",L21*(1+K21)),"")</f>
        <v/>
      </c>
      <c r="N21" s="35" t="str">
        <f t="shared" ref="N21:N328" si="4">IFERROR(IF(B21="","",IF(F21="","",F21*I21)),"")</f>
        <v/>
      </c>
      <c r="O21" s="35" t="str">
        <f t="shared" ref="O21:O328" si="5">IFERROR(IF(B21="","",IF(F21="","",M21*F21)),"")</f>
        <v/>
      </c>
      <c r="P21" s="33" t="e">
        <f t="shared" ref="P21:P328" si="6">VLOOKUP(B21,#REF!,17,FALSE)</f>
        <v>#REF!</v>
      </c>
      <c r="Q21" s="2"/>
      <c r="R21" s="2"/>
      <c r="S21" s="2"/>
      <c r="T21" s="2"/>
      <c r="U21" s="2" t="s">
        <v>42</v>
      </c>
    </row>
    <row r="22" spans="1:21" ht="12.75" customHeight="1" x14ac:dyDescent="0.2">
      <c r="A22" s="2"/>
      <c r="B22" s="31"/>
      <c r="C22" s="32" t="str">
        <f>IFERROR((IF(B22="","",IF($F$6="","Informar UF / Tabela / Prazo de Pagamento",IF($F$9="","Informar UF / Tabela / Prazo de Pagamento",IF($C$9="","Informar UF / Tabela / Prazo de Pagamento",VLOOKUP(B22,'Tabela 130 '!$A$5:$T$1001,2,FALSE)))))),"REF. NÃO CADASTRADA NA TABELA")</f>
        <v/>
      </c>
      <c r="D22" s="33" t="str">
        <f>IF('FOLHA DE PEDIDO '!B22="","",IF(C22="REF. NÃO CADASTRADA NA TABELA","",VLOOKUP(B22,'Tabela 130 '!$A$5:$AI$801,3,FALSE)))</f>
        <v/>
      </c>
      <c r="E22" s="34"/>
      <c r="F22" s="34"/>
      <c r="G22" s="35" t="str">
        <f>IFERROR(IF(C22="REF. NÃO CADASTRADA NA TABELA","",IF($C$9="","",IF($F$9="","",IF(B22="","",IF($C$9=119,VLOOKUP(B22,'Tabela 130 '!$A$5:$T$2711,MATCH($F$9,'Tabela 130 '!$A$5:$T$5,0),FALSE),IF($C$9=553,VLOOKUP(B22,#REF!,MATCH($F$9,#REF!,0),FALSE),IF($C$9=552,VLOOKUP(B22,#REF!,MATCH($F$9,#REF!,0),FALSE),IF($C$9=551,VLOOKUP(B22,#REF!,MATCH($F$9,#REF!,0),FALSE))))))))),"REF. NÃO CADASTRADA NA TABELA")</f>
        <v/>
      </c>
      <c r="H22" s="36"/>
      <c r="I22" s="37" t="str">
        <f t="shared" si="0"/>
        <v/>
      </c>
      <c r="J22" s="33" t="str">
        <f t="shared" si="1"/>
        <v/>
      </c>
      <c r="K22" s="38" t="str">
        <f>IF($F$6="","",IF(B22="","",IF(C22="REF. NÃO CADASTRADA NA TABELA","",IFERROR(VLOOKUP(B22,#REF!,VLOOKUP($F$6,'BASE CONTÁBIL'!N:O,2,FALSE),FALSE),0))))</f>
        <v/>
      </c>
      <c r="L22" s="35" t="str">
        <f t="shared" si="2"/>
        <v/>
      </c>
      <c r="M22" s="35" t="str">
        <f t="shared" si="3"/>
        <v/>
      </c>
      <c r="N22" s="35" t="str">
        <f t="shared" si="4"/>
        <v/>
      </c>
      <c r="O22" s="35" t="str">
        <f t="shared" si="5"/>
        <v/>
      </c>
      <c r="P22" s="33" t="e">
        <f t="shared" si="6"/>
        <v>#REF!</v>
      </c>
      <c r="Q22" s="2"/>
      <c r="R22" s="2"/>
      <c r="S22" s="2"/>
      <c r="T22" s="2"/>
      <c r="U22" s="2" t="s">
        <v>43</v>
      </c>
    </row>
    <row r="23" spans="1:21" ht="12.75" customHeight="1" x14ac:dyDescent="0.2">
      <c r="A23" s="2"/>
      <c r="B23" s="31"/>
      <c r="C23" s="32" t="str">
        <f>IFERROR((IF(B23="","",IF($F$6="","Informar UF / Tabela / Prazo de Pagamento",IF($F$9="","Informar UF / Tabela / Prazo de Pagamento",IF($C$9="","Informar UF / Tabela / Prazo de Pagamento",VLOOKUP(B23,'Tabela 130 '!$A$5:$T$1001,2,FALSE)))))),"REF. NÃO CADASTRADA NA TABELA")</f>
        <v/>
      </c>
      <c r="D23" s="33" t="str">
        <f>IF('FOLHA DE PEDIDO '!B23="","",IF(C23="REF. NÃO CADASTRADA NA TABELA","",VLOOKUP(B23,'Tabela 130 '!$A$5:$AI$801,3,FALSE)))</f>
        <v/>
      </c>
      <c r="E23" s="34"/>
      <c r="F23" s="34"/>
      <c r="G23" s="35" t="str">
        <f>IFERROR(IF(C23="REF. NÃO CADASTRADA NA TABELA","",IF($C$9="","",IF($F$9="","",IF(B23="","",IF($C$9=119,VLOOKUP(B23,'Tabela 130 '!$A$5:$T$2711,MATCH($F$9,'Tabela 130 '!$A$5:$T$5,0),FALSE),IF($C$9=553,VLOOKUP(B23,#REF!,MATCH($F$9,#REF!,0),FALSE),IF($C$9=552,VLOOKUP(B23,#REF!,MATCH($F$9,#REF!,0),FALSE),IF($C$9=551,VLOOKUP(B23,#REF!,MATCH($F$9,#REF!,0),FALSE))))))))),"REF. NÃO CADASTRADA NA TABELA")</f>
        <v/>
      </c>
      <c r="H23" s="36"/>
      <c r="I23" s="37" t="str">
        <f t="shared" si="0"/>
        <v/>
      </c>
      <c r="J23" s="33" t="str">
        <f t="shared" si="1"/>
        <v/>
      </c>
      <c r="K23" s="38" t="str">
        <f>IF($F$6="","",IF(B23="","",IF(C23="REF. NÃO CADASTRADA NA TABELA","",IFERROR(VLOOKUP(B23,#REF!,VLOOKUP($F$6,'BASE CONTÁBIL'!N:O,2,FALSE),FALSE),0))))</f>
        <v/>
      </c>
      <c r="L23" s="35" t="str">
        <f t="shared" si="2"/>
        <v/>
      </c>
      <c r="M23" s="35" t="str">
        <f t="shared" si="3"/>
        <v/>
      </c>
      <c r="N23" s="35" t="str">
        <f t="shared" si="4"/>
        <v/>
      </c>
      <c r="O23" s="35" t="str">
        <f t="shared" si="5"/>
        <v/>
      </c>
      <c r="P23" s="33" t="e">
        <f t="shared" si="6"/>
        <v>#REF!</v>
      </c>
      <c r="Q23" s="2"/>
      <c r="R23" s="2"/>
      <c r="S23" s="2"/>
      <c r="T23" s="2"/>
      <c r="U23" s="2"/>
    </row>
    <row r="24" spans="1:21" ht="12.75" customHeight="1" x14ac:dyDescent="0.2">
      <c r="A24" s="2"/>
      <c r="B24" s="31"/>
      <c r="C24" s="32" t="str">
        <f>IFERROR((IF(B24="","",IF($F$6="","Informar UF / Tabela / Prazo de Pagamento",IF($F$9="","Informar UF / Tabela / Prazo de Pagamento",IF($C$9="","Informar UF / Tabela / Prazo de Pagamento",VLOOKUP(B24,'Tabela 130 '!$A$5:$T$1001,2,FALSE)))))),"REF. NÃO CADASTRADA NA TABELA")</f>
        <v/>
      </c>
      <c r="D24" s="33" t="str">
        <f>IF('FOLHA DE PEDIDO '!B24="","",IF(C24="REF. NÃO CADASTRADA NA TABELA","",VLOOKUP(B24,'Tabela 130 '!$A$5:$AI$801,3,FALSE)))</f>
        <v/>
      </c>
      <c r="E24" s="34"/>
      <c r="F24" s="34"/>
      <c r="G24" s="35" t="str">
        <f>IFERROR(IF(C24="REF. NÃO CADASTRADA NA TABELA","",IF($C$9="","",IF($F$9="","",IF(B24="","",IF($C$9=119,VLOOKUP(B24,'Tabela 130 '!$A$5:$T$2711,MATCH($F$9,'Tabela 130 '!$A$5:$T$5,0),FALSE),IF($C$9=553,VLOOKUP(B24,#REF!,MATCH($F$9,#REF!,0),FALSE),IF($C$9=552,VLOOKUP(B24,#REF!,MATCH($F$9,#REF!,0),FALSE),IF($C$9=551,VLOOKUP(B24,#REF!,MATCH($F$9,#REF!,0),FALSE))))))))),"REF. NÃO CADASTRADA NA TABELA")</f>
        <v/>
      </c>
      <c r="H24" s="36"/>
      <c r="I24" s="37" t="str">
        <f t="shared" si="0"/>
        <v/>
      </c>
      <c r="J24" s="33" t="str">
        <f t="shared" si="1"/>
        <v/>
      </c>
      <c r="K24" s="38" t="str">
        <f>IF($F$6="","",IF(B24="","",IF(C24="REF. NÃO CADASTRADA NA TABELA","",IFERROR(VLOOKUP(B24,#REF!,VLOOKUP($F$6,'BASE CONTÁBIL'!N:O,2,FALSE),FALSE),0))))</f>
        <v/>
      </c>
      <c r="L24" s="35" t="str">
        <f t="shared" si="2"/>
        <v/>
      </c>
      <c r="M24" s="35" t="str">
        <f t="shared" si="3"/>
        <v/>
      </c>
      <c r="N24" s="35" t="str">
        <f t="shared" si="4"/>
        <v/>
      </c>
      <c r="O24" s="35" t="str">
        <f t="shared" si="5"/>
        <v/>
      </c>
      <c r="P24" s="33" t="e">
        <f t="shared" si="6"/>
        <v>#REF!</v>
      </c>
      <c r="Q24" s="2"/>
      <c r="R24" s="2"/>
      <c r="S24" s="2"/>
      <c r="T24" s="2"/>
      <c r="U24" s="2"/>
    </row>
    <row r="25" spans="1:21" ht="12.75" customHeight="1" x14ac:dyDescent="0.2">
      <c r="A25" s="2"/>
      <c r="B25" s="31"/>
      <c r="C25" s="32"/>
      <c r="D25" s="33"/>
      <c r="E25" s="34"/>
      <c r="F25" s="34"/>
      <c r="G25" s="35" t="str">
        <f>IFERROR(IF(C25="REF. NÃO CADASTRADA NA TABELA","",IF($C$9="","",IF($F$9="","",IF(B25="","",IF($C$9=119,VLOOKUP(B25,'Tabela 130 '!$A$5:$T$2711,MATCH($F$9,'Tabela 130 '!$A$5:$T$5,0),FALSE),IF($C$9=553,VLOOKUP(B25,#REF!,MATCH($F$9,#REF!,0),FALSE),IF($C$9=552,VLOOKUP(B25,#REF!,MATCH($F$9,#REF!,0),FALSE),IF($C$9=551,VLOOKUP(B25,#REF!,MATCH($F$9,#REF!,0),FALSE))))))))),"REF. NÃO CADASTRADA NA TABELA")</f>
        <v/>
      </c>
      <c r="H25" s="36"/>
      <c r="I25" s="37" t="str">
        <f t="shared" si="0"/>
        <v/>
      </c>
      <c r="J25" s="33" t="str">
        <f t="shared" si="1"/>
        <v/>
      </c>
      <c r="K25" s="38" t="str">
        <f>IF($F$6="","",IF(B25="","",IF(C25="REF. NÃO CADASTRADA NA TABELA","",IFERROR(VLOOKUP(B25,#REF!,VLOOKUP($F$6,'BASE CONTÁBIL'!N:O,2,FALSE),FALSE),0))))</f>
        <v/>
      </c>
      <c r="L25" s="35" t="str">
        <f t="shared" si="2"/>
        <v/>
      </c>
      <c r="M25" s="35" t="str">
        <f t="shared" si="3"/>
        <v/>
      </c>
      <c r="N25" s="35" t="str">
        <f t="shared" si="4"/>
        <v/>
      </c>
      <c r="O25" s="35" t="str">
        <f t="shared" si="5"/>
        <v/>
      </c>
      <c r="P25" s="33" t="e">
        <f t="shared" si="6"/>
        <v>#REF!</v>
      </c>
      <c r="Q25" s="2"/>
      <c r="R25" s="2"/>
      <c r="S25" s="2"/>
      <c r="T25" s="2"/>
      <c r="U25" s="2"/>
    </row>
    <row r="26" spans="1:21" ht="12.75" customHeight="1" x14ac:dyDescent="0.2">
      <c r="A26" s="2"/>
      <c r="B26" s="31"/>
      <c r="C26" s="32" t="str">
        <f>IFERROR((IF(B26="","",IF($F$6="","Informar UF / Tabela / Prazo de Pagamento",IF($F$9="","Informar UF / Tabela / Prazo de Pagamento",IF($C$9="","Informar UF / Tabela / Prazo de Pagamento",VLOOKUP(B26,'Tabela 130 '!$A$5:$T$1001,2,FALSE)))))),"REF. NÃO CADASTRADA NA TABELA")</f>
        <v/>
      </c>
      <c r="D26" s="33" t="str">
        <f>IF('FOLHA DE PEDIDO '!B26="","",IF(C26="REF. NÃO CADASTRADA NA TABELA","",VLOOKUP(B26,'Tabela 130 '!$A$5:$AI$801,3,FALSE)))</f>
        <v/>
      </c>
      <c r="E26" s="34"/>
      <c r="F26" s="34"/>
      <c r="G26" s="35" t="str">
        <f>IFERROR(IF(C26="REF. NÃO CADASTRADA NA TABELA","",IF($C$9="","",IF($F$9="","",IF(B26="","",IF($C$9=119,VLOOKUP(B26,'Tabela 130 '!$A$5:$T$2711,MATCH($F$9,'Tabela 130 '!$A$5:$T$5,0),FALSE),IF($C$9=553,VLOOKUP(B26,#REF!,MATCH($F$9,#REF!,0),FALSE),IF($C$9=552,VLOOKUP(B26,#REF!,MATCH($F$9,#REF!,0),FALSE),IF($C$9=551,VLOOKUP(B26,#REF!,MATCH($F$9,#REF!,0),FALSE))))))))),"REF. NÃO CADASTRADA NA TABELA")</f>
        <v/>
      </c>
      <c r="H26" s="36"/>
      <c r="I26" s="37" t="str">
        <f t="shared" si="0"/>
        <v/>
      </c>
      <c r="J26" s="33" t="str">
        <f t="shared" si="1"/>
        <v/>
      </c>
      <c r="K26" s="38" t="str">
        <f>IF($F$6="","",IF(B26="","",IF(C26="REF. NÃO CADASTRADA NA TABELA","",IFERROR(VLOOKUP(B26,#REF!,VLOOKUP($F$6,'BASE CONTÁBIL'!N:O,2,FALSE),FALSE),0))))</f>
        <v/>
      </c>
      <c r="L26" s="35" t="str">
        <f t="shared" si="2"/>
        <v/>
      </c>
      <c r="M26" s="35" t="str">
        <f t="shared" si="3"/>
        <v/>
      </c>
      <c r="N26" s="35" t="str">
        <f t="shared" si="4"/>
        <v/>
      </c>
      <c r="O26" s="35" t="str">
        <f t="shared" si="5"/>
        <v/>
      </c>
      <c r="P26" s="33" t="e">
        <f t="shared" si="6"/>
        <v>#REF!</v>
      </c>
      <c r="Q26" s="2"/>
      <c r="R26" s="2"/>
      <c r="S26" s="2"/>
      <c r="T26" s="2"/>
      <c r="U26" s="2"/>
    </row>
    <row r="27" spans="1:21" ht="12.75" customHeight="1" x14ac:dyDescent="0.2">
      <c r="A27" s="2"/>
      <c r="B27" s="31"/>
      <c r="C27" s="32" t="str">
        <f>IFERROR((IF(B27="","",IF($F$6="","Informar UF / Tabela / Prazo de Pagamento",IF($F$9="","Informar UF / Tabela / Prazo de Pagamento",IF($C$9="","Informar UF / Tabela / Prazo de Pagamento",VLOOKUP(B27,'Tabela 130 '!$A$5:$T$1001,2,FALSE)))))),"REF. NÃO CADASTRADA NA TABELA")</f>
        <v/>
      </c>
      <c r="D27" s="33" t="str">
        <f>IF('FOLHA DE PEDIDO '!B27="","",IF(C27="REF. NÃO CADASTRADA NA TABELA","",VLOOKUP(B27,'Tabela 130 '!$A$5:$AI$801,3,FALSE)))</f>
        <v/>
      </c>
      <c r="E27" s="34"/>
      <c r="F27" s="34"/>
      <c r="G27" s="35" t="str">
        <f>IFERROR(IF(C27="REF. NÃO CADASTRADA NA TABELA","",IF($C$9="","",IF($F$9="","",IF(B27="","",IF($C$9=119,VLOOKUP(B27,'Tabela 130 '!$A$5:$T$2711,MATCH($F$9,'Tabela 130 '!$A$5:$T$5,0),FALSE),IF($C$9=553,VLOOKUP(B27,#REF!,MATCH($F$9,#REF!,0),FALSE),IF($C$9=552,VLOOKUP(B27,#REF!,MATCH($F$9,#REF!,0),FALSE),IF($C$9=551,VLOOKUP(B27,#REF!,MATCH($F$9,#REF!,0),FALSE))))))))),"REF. NÃO CADASTRADA NA TABELA")</f>
        <v/>
      </c>
      <c r="H27" s="36"/>
      <c r="I27" s="37" t="str">
        <f t="shared" si="0"/>
        <v/>
      </c>
      <c r="J27" s="33" t="str">
        <f t="shared" si="1"/>
        <v/>
      </c>
      <c r="K27" s="38" t="str">
        <f>IF($F$6="","",IF(B27="","",IF(C27="REF. NÃO CADASTRADA NA TABELA","",IFERROR(VLOOKUP(B27,#REF!,VLOOKUP($F$6,'BASE CONTÁBIL'!N:O,2,FALSE),FALSE),0))))</f>
        <v/>
      </c>
      <c r="L27" s="35" t="str">
        <f t="shared" si="2"/>
        <v/>
      </c>
      <c r="M27" s="35" t="str">
        <f t="shared" si="3"/>
        <v/>
      </c>
      <c r="N27" s="35" t="str">
        <f t="shared" si="4"/>
        <v/>
      </c>
      <c r="O27" s="35" t="str">
        <f t="shared" si="5"/>
        <v/>
      </c>
      <c r="P27" s="33" t="e">
        <f t="shared" si="6"/>
        <v>#REF!</v>
      </c>
      <c r="Q27" s="2"/>
      <c r="R27" s="2"/>
      <c r="S27" s="2"/>
      <c r="T27" s="2"/>
      <c r="U27" s="2"/>
    </row>
    <row r="28" spans="1:21" ht="12.75" customHeight="1" x14ac:dyDescent="0.2">
      <c r="A28" s="2"/>
      <c r="B28" s="31"/>
      <c r="C28" s="32" t="str">
        <f>IFERROR((IF(B28="","",IF($F$6="","Informar UF / Tabela / Prazo de Pagamento",IF($F$9="","Informar UF / Tabela / Prazo de Pagamento",IF($C$9="","Informar UF / Tabela / Prazo de Pagamento",VLOOKUP(B28,'Tabela 130 '!$A$5:$T$1001,2,FALSE)))))),"REF. NÃO CADASTRADA NA TABELA")</f>
        <v/>
      </c>
      <c r="D28" s="33" t="str">
        <f>IF('FOLHA DE PEDIDO '!B28="","",IF(C28="REF. NÃO CADASTRADA NA TABELA","",VLOOKUP(B28,'Tabela 130 '!$A$5:$AI$801,3,FALSE)))</f>
        <v/>
      </c>
      <c r="E28" s="34"/>
      <c r="F28" s="34"/>
      <c r="G28" s="35" t="str">
        <f>IFERROR(IF(C28="REF. NÃO CADASTRADA NA TABELA","",IF($C$9="","",IF($F$9="","",IF(B28="","",IF($C$9=119,VLOOKUP(B28,'Tabela 130 '!$A$5:$T$2711,MATCH($F$9,'Tabela 130 '!$A$5:$T$5,0),FALSE),IF($C$9=553,VLOOKUP(B28,#REF!,MATCH($F$9,#REF!,0),FALSE),IF($C$9=552,VLOOKUP(B28,#REF!,MATCH($F$9,#REF!,0),FALSE),IF($C$9=551,VLOOKUP(B28,#REF!,MATCH($F$9,#REF!,0),FALSE))))))))),"REF. NÃO CADASTRADA NA TABELA")</f>
        <v/>
      </c>
      <c r="H28" s="36"/>
      <c r="I28" s="37" t="str">
        <f t="shared" si="0"/>
        <v/>
      </c>
      <c r="J28" s="33" t="str">
        <f t="shared" si="1"/>
        <v/>
      </c>
      <c r="K28" s="38" t="str">
        <f>IF($F$6="","",IF(B28="","",IF(C28="REF. NÃO CADASTRADA NA TABELA","",IFERROR(VLOOKUP(B28,#REF!,VLOOKUP($F$6,'BASE CONTÁBIL'!N:O,2,FALSE),FALSE),0))))</f>
        <v/>
      </c>
      <c r="L28" s="35" t="str">
        <f t="shared" si="2"/>
        <v/>
      </c>
      <c r="M28" s="35" t="str">
        <f t="shared" si="3"/>
        <v/>
      </c>
      <c r="N28" s="35" t="str">
        <f t="shared" si="4"/>
        <v/>
      </c>
      <c r="O28" s="35" t="str">
        <f t="shared" si="5"/>
        <v/>
      </c>
      <c r="P28" s="33" t="e">
        <f t="shared" si="6"/>
        <v>#REF!</v>
      </c>
      <c r="Q28" s="2"/>
      <c r="R28" s="2"/>
      <c r="S28" s="2"/>
      <c r="T28" s="2"/>
      <c r="U28" s="2"/>
    </row>
    <row r="29" spans="1:21" ht="12.75" customHeight="1" x14ac:dyDescent="0.2">
      <c r="A29" s="2"/>
      <c r="B29" s="31"/>
      <c r="C29" s="32" t="str">
        <f>IFERROR((IF(B29="","",IF($F$6="","Informar UF / Tabela / Prazo de Pagamento",IF($F$9="","Informar UF / Tabela / Prazo de Pagamento",IF($C$9="","Informar UF / Tabela / Prazo de Pagamento",VLOOKUP(B29,'Tabela 130 '!$A$5:$T$1001,2,FALSE)))))),"REF. NÃO CADASTRADA NA TABELA")</f>
        <v/>
      </c>
      <c r="D29" s="33" t="str">
        <f>IF('FOLHA DE PEDIDO '!B29="","",IF(C29="REF. NÃO CADASTRADA NA TABELA","",VLOOKUP(B29,'Tabela 130 '!$A$5:$AI$801,3,FALSE)))</f>
        <v/>
      </c>
      <c r="E29" s="34"/>
      <c r="F29" s="34"/>
      <c r="G29" s="35" t="str">
        <f>IFERROR(IF(C29="REF. NÃO CADASTRADA NA TABELA","",IF($C$9="","",IF($F$9="","",IF(B29="","",IF($C$9=119,VLOOKUP(B29,'Tabela 130 '!$A$5:$T$2711,MATCH($F$9,'Tabela 130 '!$A$5:$T$5,0),FALSE),IF($C$9=553,VLOOKUP(B29,#REF!,MATCH($F$9,#REF!,0),FALSE),IF($C$9=552,VLOOKUP(B29,#REF!,MATCH($F$9,#REF!,0),FALSE),IF($C$9=551,VLOOKUP(B29,#REF!,MATCH($F$9,#REF!,0),FALSE))))))))),"REF. NÃO CADASTRADA NA TABELA")</f>
        <v/>
      </c>
      <c r="H29" s="36"/>
      <c r="I29" s="37" t="str">
        <f t="shared" si="0"/>
        <v/>
      </c>
      <c r="J29" s="33" t="str">
        <f t="shared" si="1"/>
        <v/>
      </c>
      <c r="K29" s="38" t="str">
        <f>IF($F$6="","",IF(B29="","",IF(C29="REF. NÃO CADASTRADA NA TABELA","",IFERROR(VLOOKUP(B29,#REF!,VLOOKUP($F$6,'BASE CONTÁBIL'!N:O,2,FALSE),FALSE),0))))</f>
        <v/>
      </c>
      <c r="L29" s="35" t="str">
        <f t="shared" si="2"/>
        <v/>
      </c>
      <c r="M29" s="35" t="str">
        <f t="shared" si="3"/>
        <v/>
      </c>
      <c r="N29" s="35" t="str">
        <f t="shared" si="4"/>
        <v/>
      </c>
      <c r="O29" s="35" t="str">
        <f t="shared" si="5"/>
        <v/>
      </c>
      <c r="P29" s="33" t="e">
        <f t="shared" si="6"/>
        <v>#REF!</v>
      </c>
      <c r="Q29" s="2"/>
      <c r="R29" s="2"/>
      <c r="S29" s="2"/>
      <c r="T29" s="2"/>
      <c r="U29" s="2"/>
    </row>
    <row r="30" spans="1:21" ht="12.75" customHeight="1" x14ac:dyDescent="0.2">
      <c r="A30" s="2"/>
      <c r="B30" s="31"/>
      <c r="C30" s="32" t="str">
        <f>IFERROR((IF(B30="","",IF($F$6="","Informar UF / Tabela / Prazo de Pagamento",IF($F$9="","Informar UF / Tabela / Prazo de Pagamento",IF($C$9="","Informar UF / Tabela / Prazo de Pagamento",VLOOKUP(B30,'Tabela 130 '!$A$5:$T$1001,2,FALSE)))))),"REF. NÃO CADASTRADA NA TABELA")</f>
        <v/>
      </c>
      <c r="D30" s="33" t="str">
        <f>IF('FOLHA DE PEDIDO '!B30="","",IF(C30="REF. NÃO CADASTRADA NA TABELA","",VLOOKUP(B30,'Tabela 130 '!$A$5:$AI$801,3,FALSE)))</f>
        <v/>
      </c>
      <c r="E30" s="34"/>
      <c r="F30" s="34"/>
      <c r="G30" s="35" t="str">
        <f>IFERROR(IF(C30="REF. NÃO CADASTRADA NA TABELA","",IF($C$9="","",IF($F$9="","",IF(B30="","",IF($C$9=119,VLOOKUP(B30,'Tabela 130 '!$A$5:$T$2711,MATCH($F$9,'Tabela 130 '!$A$5:$T$5,0),FALSE),IF($C$9=553,VLOOKUP(B30,#REF!,MATCH($F$9,#REF!,0),FALSE),IF($C$9=552,VLOOKUP(B30,#REF!,MATCH($F$9,#REF!,0),FALSE),IF($C$9=551,VLOOKUP(B30,#REF!,MATCH($F$9,#REF!,0),FALSE))))))))),"REF. NÃO CADASTRADA NA TABELA")</f>
        <v/>
      </c>
      <c r="H30" s="36"/>
      <c r="I30" s="37" t="str">
        <f t="shared" si="0"/>
        <v/>
      </c>
      <c r="J30" s="33" t="str">
        <f t="shared" si="1"/>
        <v/>
      </c>
      <c r="K30" s="38" t="str">
        <f>IF($F$6="","",IF(B30="","",IF(C30="REF. NÃO CADASTRADA NA TABELA","",IFERROR(VLOOKUP(B30,#REF!,VLOOKUP($F$6,'BASE CONTÁBIL'!N:O,2,FALSE),FALSE),0))))</f>
        <v/>
      </c>
      <c r="L30" s="35" t="str">
        <f t="shared" si="2"/>
        <v/>
      </c>
      <c r="M30" s="35" t="str">
        <f t="shared" si="3"/>
        <v/>
      </c>
      <c r="N30" s="35" t="str">
        <f t="shared" si="4"/>
        <v/>
      </c>
      <c r="O30" s="35" t="str">
        <f t="shared" si="5"/>
        <v/>
      </c>
      <c r="P30" s="33" t="e">
        <f t="shared" si="6"/>
        <v>#REF!</v>
      </c>
      <c r="Q30" s="2"/>
      <c r="R30" s="2"/>
      <c r="S30" s="2"/>
      <c r="T30" s="2"/>
      <c r="U30" s="2"/>
    </row>
    <row r="31" spans="1:21" ht="12.75" customHeight="1" x14ac:dyDescent="0.2">
      <c r="A31" s="2"/>
      <c r="B31" s="31"/>
      <c r="C31" s="32" t="str">
        <f>IFERROR((IF(B31="","",IF($F$6="","Informar UF / Tabela / Prazo de Pagamento",IF($F$9="","Informar UF / Tabela / Prazo de Pagamento",IF($C$9="","Informar UF / Tabela / Prazo de Pagamento",VLOOKUP(B31,'Tabela 130 '!$A$5:$T$1001,2,FALSE)))))),"REF. NÃO CADASTRADA NA TABELA")</f>
        <v/>
      </c>
      <c r="D31" s="33" t="str">
        <f>IF('FOLHA DE PEDIDO '!B31="","",IF(C31="REF. NÃO CADASTRADA NA TABELA","",VLOOKUP(B31,'Tabela 130 '!$A$5:$AI$801,3,FALSE)))</f>
        <v/>
      </c>
      <c r="E31" s="34"/>
      <c r="F31" s="34"/>
      <c r="G31" s="35" t="str">
        <f>IFERROR(IF(C31="REF. NÃO CADASTRADA NA TABELA","",IF($C$9="","",IF($F$9="","",IF(B31="","",IF($C$9=119,VLOOKUP(B31,'Tabela 130 '!$A$5:$T$2711,MATCH($F$9,'Tabela 130 '!$A$5:$T$5,0),FALSE),IF($C$9=553,VLOOKUP(B31,#REF!,MATCH($F$9,#REF!,0),FALSE),IF($C$9=552,VLOOKUP(B31,#REF!,MATCH($F$9,#REF!,0),FALSE),IF($C$9=551,VLOOKUP(B31,#REF!,MATCH($F$9,#REF!,0),FALSE))))))))),"REF. NÃO CADASTRADA NA TABELA")</f>
        <v/>
      </c>
      <c r="H31" s="36"/>
      <c r="I31" s="37" t="str">
        <f t="shared" si="0"/>
        <v/>
      </c>
      <c r="J31" s="33" t="str">
        <f t="shared" si="1"/>
        <v/>
      </c>
      <c r="K31" s="38" t="str">
        <f>IF($F$6="","",IF(B31="","",IF(C31="REF. NÃO CADASTRADA NA TABELA","",IFERROR(VLOOKUP(B31,#REF!,VLOOKUP($F$6,'BASE CONTÁBIL'!N:O,2,FALSE),FALSE),0))))</f>
        <v/>
      </c>
      <c r="L31" s="35" t="str">
        <f t="shared" si="2"/>
        <v/>
      </c>
      <c r="M31" s="35" t="str">
        <f t="shared" si="3"/>
        <v/>
      </c>
      <c r="N31" s="35" t="str">
        <f t="shared" si="4"/>
        <v/>
      </c>
      <c r="O31" s="35" t="str">
        <f t="shared" si="5"/>
        <v/>
      </c>
      <c r="P31" s="33" t="e">
        <f t="shared" si="6"/>
        <v>#REF!</v>
      </c>
      <c r="Q31" s="2"/>
      <c r="R31" s="2"/>
      <c r="S31" s="2"/>
      <c r="T31" s="2"/>
      <c r="U31" s="2"/>
    </row>
    <row r="32" spans="1:21" ht="12.75" customHeight="1" x14ac:dyDescent="0.2">
      <c r="A32" s="2"/>
      <c r="B32" s="31"/>
      <c r="C32" s="32" t="str">
        <f>IFERROR((IF(B32="","",IF($F$6="","Informar UF / Tabela / Prazo de Pagamento",IF($F$9="","Informar UF / Tabela / Prazo de Pagamento",IF($C$9="","Informar UF / Tabela / Prazo de Pagamento",VLOOKUP(B32,'Tabela 130 '!$A$5:$T$1001,2,FALSE)))))),"REF. NÃO CADASTRADA NA TABELA")</f>
        <v/>
      </c>
      <c r="D32" s="33" t="str">
        <f>IF('FOLHA DE PEDIDO '!B32="","",IF(C32="REF. NÃO CADASTRADA NA TABELA","",VLOOKUP(B32,'Tabela 130 '!$A$5:$AI$801,3,FALSE)))</f>
        <v/>
      </c>
      <c r="E32" s="34"/>
      <c r="F32" s="34"/>
      <c r="G32" s="35" t="str">
        <f>IFERROR(IF(C32="REF. NÃO CADASTRADA NA TABELA","",IF($C$9="","",IF($F$9="","",IF(B32="","",IF($C$9=119,VLOOKUP(B32,'Tabela 130 '!$A$5:$T$2711,MATCH($F$9,'Tabela 130 '!$A$5:$T$5,0),FALSE),IF($C$9=553,VLOOKUP(B32,#REF!,MATCH($F$9,#REF!,0),FALSE),IF($C$9=552,VLOOKUP(B32,#REF!,MATCH($F$9,#REF!,0),FALSE),IF($C$9=551,VLOOKUP(B32,#REF!,MATCH($F$9,#REF!,0),FALSE))))))))),"REF. NÃO CADASTRADA NA TABELA")</f>
        <v/>
      </c>
      <c r="H32" s="36"/>
      <c r="I32" s="37" t="str">
        <f t="shared" si="0"/>
        <v/>
      </c>
      <c r="J32" s="33" t="str">
        <f t="shared" si="1"/>
        <v/>
      </c>
      <c r="K32" s="38" t="str">
        <f>IF($F$6="","",IF(B32="","",IF(C32="REF. NÃO CADASTRADA NA TABELA","",IFERROR(VLOOKUP(B32,#REF!,VLOOKUP($F$6,'BASE CONTÁBIL'!N:O,2,FALSE),FALSE),0))))</f>
        <v/>
      </c>
      <c r="L32" s="35" t="str">
        <f t="shared" si="2"/>
        <v/>
      </c>
      <c r="M32" s="35" t="str">
        <f t="shared" si="3"/>
        <v/>
      </c>
      <c r="N32" s="35" t="str">
        <f t="shared" si="4"/>
        <v/>
      </c>
      <c r="O32" s="35" t="str">
        <f t="shared" si="5"/>
        <v/>
      </c>
      <c r="P32" s="33" t="e">
        <f t="shared" si="6"/>
        <v>#REF!</v>
      </c>
      <c r="Q32" s="2"/>
      <c r="R32" s="2"/>
      <c r="S32" s="2"/>
      <c r="T32" s="2"/>
      <c r="U32" s="2"/>
    </row>
    <row r="33" spans="1:21" ht="12.75" customHeight="1" x14ac:dyDescent="0.2">
      <c r="A33" s="2"/>
      <c r="B33" s="31"/>
      <c r="C33" s="32" t="str">
        <f>IFERROR((IF(B33="","",IF($F$6="","Informar UF / Tabela / Prazo de Pagamento",IF($F$9="","Informar UF / Tabela / Prazo de Pagamento",IF($C$9="","Informar UF / Tabela / Prazo de Pagamento",VLOOKUP(B33,'Tabela 130 '!$A$5:$T$1001,2,FALSE)))))),"REF. NÃO CADASTRADA NA TABELA")</f>
        <v/>
      </c>
      <c r="D33" s="33" t="str">
        <f>IF('FOLHA DE PEDIDO '!B33="","",IF(C33="REF. NÃO CADASTRADA NA TABELA","",VLOOKUP(B33,'Tabela 130 '!$A$5:$AI$801,3,FALSE)))</f>
        <v/>
      </c>
      <c r="E33" s="34"/>
      <c r="F33" s="34"/>
      <c r="G33" s="35" t="str">
        <f>IFERROR(IF(C33="REF. NÃO CADASTRADA NA TABELA","",IF($C$9="","",IF($F$9="","",IF(B33="","",IF($C$9=119,VLOOKUP(B33,'Tabela 130 '!$A$5:$T$2711,MATCH($F$9,'Tabela 130 '!$A$5:$T$5,0),FALSE),IF($C$9=553,VLOOKUP(B33,#REF!,MATCH($F$9,#REF!,0),FALSE),IF($C$9=552,VLOOKUP(B33,#REF!,MATCH($F$9,#REF!,0),FALSE),IF($C$9=551,VLOOKUP(B33,#REF!,MATCH($F$9,#REF!,0),FALSE))))))))),"REF. NÃO CADASTRADA NA TABELA")</f>
        <v/>
      </c>
      <c r="H33" s="36"/>
      <c r="I33" s="37" t="str">
        <f t="shared" si="0"/>
        <v/>
      </c>
      <c r="J33" s="33" t="str">
        <f t="shared" si="1"/>
        <v/>
      </c>
      <c r="K33" s="38" t="str">
        <f>IF($F$6="","",IF(B33="","",IF(C33="REF. NÃO CADASTRADA NA TABELA","",IFERROR(VLOOKUP(B33,#REF!,VLOOKUP($F$6,'BASE CONTÁBIL'!N:O,2,FALSE),FALSE),0))))</f>
        <v/>
      </c>
      <c r="L33" s="35" t="str">
        <f t="shared" si="2"/>
        <v/>
      </c>
      <c r="M33" s="35" t="str">
        <f t="shared" si="3"/>
        <v/>
      </c>
      <c r="N33" s="35" t="str">
        <f t="shared" si="4"/>
        <v/>
      </c>
      <c r="O33" s="35" t="str">
        <f t="shared" si="5"/>
        <v/>
      </c>
      <c r="P33" s="33" t="e">
        <f t="shared" si="6"/>
        <v>#REF!</v>
      </c>
      <c r="Q33" s="2"/>
      <c r="R33" s="2"/>
      <c r="S33" s="2"/>
      <c r="T33" s="2"/>
      <c r="U33" s="2"/>
    </row>
    <row r="34" spans="1:21" ht="12.75" customHeight="1" x14ac:dyDescent="0.2">
      <c r="A34" s="2"/>
      <c r="B34" s="31"/>
      <c r="C34" s="32" t="str">
        <f>IFERROR((IF(B34="","",IF($F$6="","Informar UF / Tabela / Prazo de Pagamento",IF($F$9="","Informar UF / Tabela / Prazo de Pagamento",IF($C$9="","Informar UF / Tabela / Prazo de Pagamento",VLOOKUP(B34,'Tabela 130 '!$A$5:$T$1001,2,FALSE)))))),"REF. NÃO CADASTRADA NA TABELA")</f>
        <v/>
      </c>
      <c r="D34" s="33" t="str">
        <f>IF('FOLHA DE PEDIDO '!B34="","",IF(C34="REF. NÃO CADASTRADA NA TABELA","",VLOOKUP(B34,'Tabela 130 '!$A$5:$AI$801,3,FALSE)))</f>
        <v/>
      </c>
      <c r="E34" s="34"/>
      <c r="F34" s="34"/>
      <c r="G34" s="35" t="str">
        <f>IFERROR(IF(C34="REF. NÃO CADASTRADA NA TABELA","",IF($C$9="","",IF($F$9="","",IF(B34="","",IF($C$9=119,VLOOKUP(B34,'Tabela 130 '!$A$5:$T$2711,MATCH($F$9,'Tabela 130 '!$A$5:$T$5,0),FALSE),IF($C$9=553,VLOOKUP(B34,#REF!,MATCH($F$9,#REF!,0),FALSE),IF($C$9=552,VLOOKUP(B34,#REF!,MATCH($F$9,#REF!,0),FALSE),IF($C$9=551,VLOOKUP(B34,#REF!,MATCH($F$9,#REF!,0),FALSE))))))))),"REF. NÃO CADASTRADA NA TABELA")</f>
        <v/>
      </c>
      <c r="H34" s="36"/>
      <c r="I34" s="37" t="str">
        <f t="shared" si="0"/>
        <v/>
      </c>
      <c r="J34" s="33" t="str">
        <f t="shared" si="1"/>
        <v/>
      </c>
      <c r="K34" s="38" t="str">
        <f>IF($F$6="","",IF(B34="","",IF(C34="REF. NÃO CADASTRADA NA TABELA","",IFERROR(VLOOKUP(B34,#REF!,VLOOKUP($F$6,'BASE CONTÁBIL'!N:O,2,FALSE),FALSE),0))))</f>
        <v/>
      </c>
      <c r="L34" s="35" t="str">
        <f t="shared" si="2"/>
        <v/>
      </c>
      <c r="M34" s="35" t="str">
        <f t="shared" si="3"/>
        <v/>
      </c>
      <c r="N34" s="35" t="str">
        <f t="shared" si="4"/>
        <v/>
      </c>
      <c r="O34" s="35" t="str">
        <f t="shared" si="5"/>
        <v/>
      </c>
      <c r="P34" s="33" t="e">
        <f t="shared" si="6"/>
        <v>#REF!</v>
      </c>
      <c r="Q34" s="2"/>
      <c r="R34" s="2"/>
      <c r="S34" s="2"/>
      <c r="T34" s="2"/>
      <c r="U34" s="2"/>
    </row>
    <row r="35" spans="1:21" ht="12.75" customHeight="1" x14ac:dyDescent="0.2">
      <c r="A35" s="2"/>
      <c r="B35" s="31"/>
      <c r="C35" s="32" t="str">
        <f>IFERROR((IF(B35="","",IF($F$6="","Informar UF / Tabela / Prazo de Pagamento",IF($F$9="","Informar UF / Tabela / Prazo de Pagamento",IF($C$9="","Informar UF / Tabela / Prazo de Pagamento",VLOOKUP(B35,'Tabela 130 '!$A$5:$T$1001,2,FALSE)))))),"REF. NÃO CADASTRADA NA TABELA")</f>
        <v/>
      </c>
      <c r="D35" s="33" t="str">
        <f>IF('FOLHA DE PEDIDO '!B35="","",IF(C35="REF. NÃO CADASTRADA NA TABELA","",VLOOKUP(B35,'Tabela 130 '!$A$5:$AI$801,3,FALSE)))</f>
        <v/>
      </c>
      <c r="E35" s="34"/>
      <c r="F35" s="34"/>
      <c r="G35" s="35" t="str">
        <f>IFERROR(IF(C35="REF. NÃO CADASTRADA NA TABELA","",IF($C$9="","",IF($F$9="","",IF(B35="","",IF($C$9=119,VLOOKUP(B35,'Tabela 130 '!$A$5:$T$2711,MATCH($F$9,'Tabela 130 '!$A$5:$T$5,0),FALSE),IF($C$9=553,VLOOKUP(B35,#REF!,MATCH($F$9,#REF!,0),FALSE),IF($C$9=552,VLOOKUP(B35,#REF!,MATCH($F$9,#REF!,0),FALSE),IF($C$9=551,VLOOKUP(B35,#REF!,MATCH($F$9,#REF!,0),FALSE))))))))),"REF. NÃO CADASTRADA NA TABELA")</f>
        <v/>
      </c>
      <c r="H35" s="36"/>
      <c r="I35" s="37" t="str">
        <f t="shared" si="0"/>
        <v/>
      </c>
      <c r="J35" s="33" t="str">
        <f t="shared" si="1"/>
        <v/>
      </c>
      <c r="K35" s="38" t="str">
        <f>IF($F$6="","",IF(B35="","",IF(C35="REF. NÃO CADASTRADA NA TABELA","",IFERROR(VLOOKUP(B35,#REF!,VLOOKUP($F$6,'BASE CONTÁBIL'!N:O,2,FALSE),FALSE),0))))</f>
        <v/>
      </c>
      <c r="L35" s="35" t="str">
        <f t="shared" si="2"/>
        <v/>
      </c>
      <c r="M35" s="35" t="str">
        <f t="shared" si="3"/>
        <v/>
      </c>
      <c r="N35" s="35" t="str">
        <f t="shared" si="4"/>
        <v/>
      </c>
      <c r="O35" s="35" t="str">
        <f t="shared" si="5"/>
        <v/>
      </c>
      <c r="P35" s="33" t="e">
        <f t="shared" si="6"/>
        <v>#REF!</v>
      </c>
      <c r="Q35" s="2"/>
      <c r="R35" s="2"/>
      <c r="S35" s="2"/>
      <c r="T35" s="2"/>
      <c r="U35" s="2"/>
    </row>
    <row r="36" spans="1:21" ht="12.75" customHeight="1" x14ac:dyDescent="0.2">
      <c r="A36" s="2"/>
      <c r="B36" s="31"/>
      <c r="C36" s="32" t="str">
        <f>IFERROR((IF(B36="","",IF($F$6="","Informar UF / Tabela / Prazo de Pagamento",IF($F$9="","Informar UF / Tabela / Prazo de Pagamento",IF($C$9="","Informar UF / Tabela / Prazo de Pagamento",VLOOKUP(B36,'Tabela 130 '!$A$5:$T$1001,2,FALSE)))))),"REF. NÃO CADASTRADA NA TABELA")</f>
        <v/>
      </c>
      <c r="D36" s="33" t="str">
        <f>IF('FOLHA DE PEDIDO '!B36="","",IF(C36="REF. NÃO CADASTRADA NA TABELA","",VLOOKUP(B36,'Tabela 130 '!$A$5:$AI$801,3,FALSE)))</f>
        <v/>
      </c>
      <c r="E36" s="34"/>
      <c r="F36" s="34"/>
      <c r="G36" s="35" t="str">
        <f>IFERROR(IF(C36="REF. NÃO CADASTRADA NA TABELA","",IF($C$9="","",IF($F$9="","",IF(B36="","",IF($C$9=119,VLOOKUP(B36,'Tabela 130 '!$A$5:$T$2711,MATCH($F$9,'Tabela 130 '!$A$5:$T$5,0),FALSE),IF($C$9=553,VLOOKUP(B36,#REF!,MATCH($F$9,#REF!,0),FALSE),IF($C$9=552,VLOOKUP(B36,#REF!,MATCH($F$9,#REF!,0),FALSE),IF($C$9=551,VLOOKUP(B36,#REF!,MATCH($F$9,#REF!,0),FALSE))))))))),"REF. NÃO CADASTRADA NA TABELA")</f>
        <v/>
      </c>
      <c r="H36" s="36"/>
      <c r="I36" s="37" t="str">
        <f t="shared" si="0"/>
        <v/>
      </c>
      <c r="J36" s="33" t="str">
        <f t="shared" si="1"/>
        <v/>
      </c>
      <c r="K36" s="38" t="str">
        <f>IF($F$6="","",IF(B36="","",IF(C36="REF. NÃO CADASTRADA NA TABELA","",IFERROR(VLOOKUP(B36,#REF!,VLOOKUP($F$6,'BASE CONTÁBIL'!N:O,2,FALSE),FALSE),0))))</f>
        <v/>
      </c>
      <c r="L36" s="35" t="str">
        <f t="shared" si="2"/>
        <v/>
      </c>
      <c r="M36" s="35" t="str">
        <f t="shared" si="3"/>
        <v/>
      </c>
      <c r="N36" s="35" t="str">
        <f t="shared" si="4"/>
        <v/>
      </c>
      <c r="O36" s="35" t="str">
        <f t="shared" si="5"/>
        <v/>
      </c>
      <c r="P36" s="33" t="e">
        <f t="shared" si="6"/>
        <v>#REF!</v>
      </c>
      <c r="Q36" s="2"/>
      <c r="R36" s="2"/>
      <c r="S36" s="2"/>
      <c r="T36" s="2"/>
      <c r="U36" s="2"/>
    </row>
    <row r="37" spans="1:21" ht="12.75" customHeight="1" x14ac:dyDescent="0.2">
      <c r="A37" s="2"/>
      <c r="B37" s="31"/>
      <c r="C37" s="32" t="str">
        <f>IFERROR((IF(B37="","",IF($F$6="","Informar UF / Tabela / Prazo de Pagamento",IF($F$9="","Informar UF / Tabela / Prazo de Pagamento",IF($C$9="","Informar UF / Tabela / Prazo de Pagamento",VLOOKUP(B37,'Tabela 130 '!$A$5:$T$1001,2,FALSE)))))),"REF. NÃO CADASTRADA NA TABELA")</f>
        <v/>
      </c>
      <c r="D37" s="33" t="str">
        <f>IF('FOLHA DE PEDIDO '!B37="","",IF(C37="REF. NÃO CADASTRADA NA TABELA","",VLOOKUP(B37,'Tabela 130 '!$A$5:$AI$801,3,FALSE)))</f>
        <v/>
      </c>
      <c r="E37" s="34"/>
      <c r="F37" s="34"/>
      <c r="G37" s="35" t="str">
        <f>IFERROR(IF(C37="REF. NÃO CADASTRADA NA TABELA","",IF($C$9="","",IF($F$9="","",IF(B37="","",IF($C$9=119,VLOOKUP(B37,'Tabela 130 '!$A$5:$T$2711,MATCH($F$9,'Tabela 130 '!$A$5:$T$5,0),FALSE),IF($C$9=553,VLOOKUP(B37,#REF!,MATCH($F$9,#REF!,0),FALSE),IF($C$9=552,VLOOKUP(B37,#REF!,MATCH($F$9,#REF!,0),FALSE),IF($C$9=551,VLOOKUP(B37,#REF!,MATCH($F$9,#REF!,0),FALSE))))))))),"REF. NÃO CADASTRADA NA TABELA")</f>
        <v/>
      </c>
      <c r="H37" s="36"/>
      <c r="I37" s="37" t="str">
        <f t="shared" si="0"/>
        <v/>
      </c>
      <c r="J37" s="33" t="str">
        <f t="shared" si="1"/>
        <v/>
      </c>
      <c r="K37" s="38" t="str">
        <f>IF($F$6="","",IF(B37="","",IF(C37="REF. NÃO CADASTRADA NA TABELA","",IFERROR(VLOOKUP(B37,#REF!,VLOOKUP($F$6,'BASE CONTÁBIL'!N:O,2,FALSE),FALSE),0))))</f>
        <v/>
      </c>
      <c r="L37" s="35" t="str">
        <f t="shared" si="2"/>
        <v/>
      </c>
      <c r="M37" s="35" t="str">
        <f t="shared" si="3"/>
        <v/>
      </c>
      <c r="N37" s="35" t="str">
        <f t="shared" si="4"/>
        <v/>
      </c>
      <c r="O37" s="35" t="str">
        <f t="shared" si="5"/>
        <v/>
      </c>
      <c r="P37" s="33" t="e">
        <f t="shared" si="6"/>
        <v>#REF!</v>
      </c>
      <c r="Q37" s="2"/>
      <c r="R37" s="2"/>
      <c r="S37" s="2"/>
      <c r="T37" s="2"/>
      <c r="U37" s="2"/>
    </row>
    <row r="38" spans="1:21" ht="12.75" customHeight="1" x14ac:dyDescent="0.2">
      <c r="A38" s="2"/>
      <c r="B38" s="31"/>
      <c r="C38" s="32" t="str">
        <f>IFERROR((IF(B38="","",IF($F$6="","Informar UF / Tabela / Prazo de Pagamento",IF($F$9="","Informar UF / Tabela / Prazo de Pagamento",IF($C$9="","Informar UF / Tabela / Prazo de Pagamento",VLOOKUP(B38,'Tabela 130 '!$A$5:$T$1001,2,FALSE)))))),"REF. NÃO CADASTRADA NA TABELA")</f>
        <v/>
      </c>
      <c r="D38" s="33" t="str">
        <f>IF('FOLHA DE PEDIDO '!B38="","",IF(C38="REF. NÃO CADASTRADA NA TABELA","",VLOOKUP(B38,'Tabela 130 '!$A$5:$AI$801,3,FALSE)))</f>
        <v/>
      </c>
      <c r="E38" s="34"/>
      <c r="F38" s="34"/>
      <c r="G38" s="35" t="str">
        <f>IFERROR(IF(C38="REF. NÃO CADASTRADA NA TABELA","",IF($C$9="","",IF($F$9="","",IF(B38="","",IF($C$9=119,VLOOKUP(B38,'Tabela 130 '!$A$5:$T$2711,MATCH($F$9,'Tabela 130 '!$A$5:$T$5,0),FALSE),IF($C$9=553,VLOOKUP(B38,#REF!,MATCH($F$9,#REF!,0),FALSE),IF($C$9=552,VLOOKUP(B38,#REF!,MATCH($F$9,#REF!,0),FALSE),IF($C$9=551,VLOOKUP(B38,#REF!,MATCH($F$9,#REF!,0),FALSE))))))))),"REF. NÃO CADASTRADA NA TABELA")</f>
        <v/>
      </c>
      <c r="H38" s="36"/>
      <c r="I38" s="37" t="str">
        <f t="shared" si="0"/>
        <v/>
      </c>
      <c r="J38" s="33" t="str">
        <f t="shared" si="1"/>
        <v/>
      </c>
      <c r="K38" s="38" t="str">
        <f>IF($F$6="","",IF(B38="","",IF(C38="REF. NÃO CADASTRADA NA TABELA","",IFERROR(VLOOKUP(B38,#REF!,VLOOKUP($F$6,'BASE CONTÁBIL'!N:O,2,FALSE),FALSE),0))))</f>
        <v/>
      </c>
      <c r="L38" s="35" t="str">
        <f t="shared" si="2"/>
        <v/>
      </c>
      <c r="M38" s="35" t="str">
        <f t="shared" si="3"/>
        <v/>
      </c>
      <c r="N38" s="35" t="str">
        <f t="shared" si="4"/>
        <v/>
      </c>
      <c r="O38" s="35" t="str">
        <f t="shared" si="5"/>
        <v/>
      </c>
      <c r="P38" s="33" t="e">
        <f t="shared" si="6"/>
        <v>#REF!</v>
      </c>
      <c r="Q38" s="2"/>
      <c r="R38" s="2"/>
      <c r="S38" s="2"/>
      <c r="T38" s="2"/>
      <c r="U38" s="2"/>
    </row>
    <row r="39" spans="1:21" ht="12.75" customHeight="1" x14ac:dyDescent="0.2">
      <c r="A39" s="2"/>
      <c r="B39" s="31"/>
      <c r="C39" s="32" t="str">
        <f>IFERROR((IF(B39="","",IF($F$6="","Informar UF / Tabela / Prazo de Pagamento",IF($F$9="","Informar UF / Tabela / Prazo de Pagamento",IF($C$9="","Informar UF / Tabela / Prazo de Pagamento",VLOOKUP(B39,'Tabela 130 '!$A$5:$T$1001,2,FALSE)))))),"REF. NÃO CADASTRADA NA TABELA")</f>
        <v/>
      </c>
      <c r="D39" s="33" t="str">
        <f>IF('FOLHA DE PEDIDO '!B39="","",IF(C39="REF. NÃO CADASTRADA NA TABELA","",VLOOKUP(B39,'Tabela 130 '!$A$5:$AI$801,3,FALSE)))</f>
        <v/>
      </c>
      <c r="E39" s="34"/>
      <c r="F39" s="34"/>
      <c r="G39" s="35" t="str">
        <f>IFERROR(IF(C39="REF. NÃO CADASTRADA NA TABELA","",IF($C$9="","",IF($F$9="","",IF(B39="","",IF($C$9=119,VLOOKUP(B39,'Tabela 130 '!$A$5:$T$2711,MATCH($F$9,'Tabela 130 '!$A$5:$T$5,0),FALSE),IF($C$9=553,VLOOKUP(B39,#REF!,MATCH($F$9,#REF!,0),FALSE),IF($C$9=552,VLOOKUP(B39,#REF!,MATCH($F$9,#REF!,0),FALSE),IF($C$9=551,VLOOKUP(B39,#REF!,MATCH($F$9,#REF!,0),FALSE))))))))),"REF. NÃO CADASTRADA NA TABELA")</f>
        <v/>
      </c>
      <c r="H39" s="36"/>
      <c r="I39" s="37" t="str">
        <f t="shared" si="0"/>
        <v/>
      </c>
      <c r="J39" s="33" t="str">
        <f t="shared" si="1"/>
        <v/>
      </c>
      <c r="K39" s="38" t="str">
        <f>IF($F$6="","",IF(B39="","",IF(C39="REF. NÃO CADASTRADA NA TABELA","",IFERROR(VLOOKUP(B39,#REF!,VLOOKUP($F$6,'BASE CONTÁBIL'!N:O,2,FALSE),FALSE),0))))</f>
        <v/>
      </c>
      <c r="L39" s="35" t="str">
        <f t="shared" si="2"/>
        <v/>
      </c>
      <c r="M39" s="35" t="str">
        <f t="shared" si="3"/>
        <v/>
      </c>
      <c r="N39" s="35" t="str">
        <f t="shared" si="4"/>
        <v/>
      </c>
      <c r="O39" s="35" t="str">
        <f t="shared" si="5"/>
        <v/>
      </c>
      <c r="P39" s="33" t="e">
        <f t="shared" si="6"/>
        <v>#REF!</v>
      </c>
      <c r="Q39" s="2"/>
      <c r="R39" s="2"/>
      <c r="S39" s="2"/>
      <c r="T39" s="2"/>
      <c r="U39" s="2"/>
    </row>
    <row r="40" spans="1:21" ht="12.75" customHeight="1" x14ac:dyDescent="0.2">
      <c r="A40" s="2"/>
      <c r="B40" s="31"/>
      <c r="C40" s="32" t="str">
        <f>IFERROR((IF(B40="","",IF($F$6="","Informar UF / Tabela / Prazo de Pagamento",IF($F$9="","Informar UF / Tabela / Prazo de Pagamento",IF($C$9="","Informar UF / Tabela / Prazo de Pagamento",VLOOKUP(B40,'Tabela 130 '!$A$5:$T$1001,2,FALSE)))))),"REF. NÃO CADASTRADA NA TABELA")</f>
        <v/>
      </c>
      <c r="D40" s="33" t="str">
        <f>IF('FOLHA DE PEDIDO '!B40="","",IF(C40="REF. NÃO CADASTRADA NA TABELA","",VLOOKUP(B40,'Tabela 130 '!$A$5:$AI$801,3,FALSE)))</f>
        <v/>
      </c>
      <c r="E40" s="34"/>
      <c r="F40" s="34"/>
      <c r="G40" s="35" t="str">
        <f>IFERROR(IF(C40="REF. NÃO CADASTRADA NA TABELA","",IF($C$9="","",IF($F$9="","",IF(B40="","",IF($C$9=119,VLOOKUP(B40,'Tabela 130 '!$A$5:$T$2711,MATCH($F$9,'Tabela 130 '!$A$5:$T$5,0),FALSE),IF($C$9=553,VLOOKUP(B40,#REF!,MATCH($F$9,#REF!,0),FALSE),IF($C$9=552,VLOOKUP(B40,#REF!,MATCH($F$9,#REF!,0),FALSE),IF($C$9=551,VLOOKUP(B40,#REF!,MATCH($F$9,#REF!,0),FALSE))))))))),"REF. NÃO CADASTRADA NA TABELA")</f>
        <v/>
      </c>
      <c r="H40" s="36"/>
      <c r="I40" s="37" t="str">
        <f t="shared" si="0"/>
        <v/>
      </c>
      <c r="J40" s="33" t="str">
        <f t="shared" si="1"/>
        <v/>
      </c>
      <c r="K40" s="38" t="str">
        <f>IF($F$6="","",IF(B40="","",IF(C40="REF. NÃO CADASTRADA NA TABELA","",IFERROR(VLOOKUP(B40,#REF!,VLOOKUP($F$6,'BASE CONTÁBIL'!N:O,2,FALSE),FALSE),0))))</f>
        <v/>
      </c>
      <c r="L40" s="35" t="str">
        <f t="shared" si="2"/>
        <v/>
      </c>
      <c r="M40" s="35" t="str">
        <f t="shared" si="3"/>
        <v/>
      </c>
      <c r="N40" s="35" t="str">
        <f t="shared" si="4"/>
        <v/>
      </c>
      <c r="O40" s="35" t="str">
        <f t="shared" si="5"/>
        <v/>
      </c>
      <c r="P40" s="33" t="e">
        <f t="shared" si="6"/>
        <v>#REF!</v>
      </c>
      <c r="Q40" s="2"/>
      <c r="R40" s="2"/>
      <c r="S40" s="2"/>
      <c r="T40" s="2"/>
      <c r="U40" s="2"/>
    </row>
    <row r="41" spans="1:21" ht="12.75" customHeight="1" x14ac:dyDescent="0.2">
      <c r="A41" s="2"/>
      <c r="B41" s="31"/>
      <c r="C41" s="32" t="str">
        <f>IFERROR((IF(B41="","",IF($F$6="","Informar UF / Tabela / Prazo de Pagamento",IF($F$9="","Informar UF / Tabela / Prazo de Pagamento",IF($C$9="","Informar UF / Tabela / Prazo de Pagamento",VLOOKUP(B41,'Tabela 130 '!$A$5:$T$1001,2,FALSE)))))),"REF. NÃO CADASTRADA NA TABELA")</f>
        <v/>
      </c>
      <c r="D41" s="33" t="str">
        <f>IF('FOLHA DE PEDIDO '!B41="","",IF(C41="REF. NÃO CADASTRADA NA TABELA","",VLOOKUP(B41,'Tabela 130 '!$A$5:$AI$801,3,FALSE)))</f>
        <v/>
      </c>
      <c r="E41" s="34"/>
      <c r="F41" s="34"/>
      <c r="G41" s="35" t="str">
        <f>IFERROR(IF(C41="REF. NÃO CADASTRADA NA TABELA","",IF($C$9="","",IF($F$9="","",IF(B41="","",IF($C$9=119,VLOOKUP(B41,'Tabela 130 '!$A$5:$T$2711,MATCH($F$9,'Tabela 130 '!$A$5:$T$5,0),FALSE),IF($C$9=553,VLOOKUP(B41,#REF!,MATCH($F$9,#REF!,0),FALSE),IF($C$9=552,VLOOKUP(B41,#REF!,MATCH($F$9,#REF!,0),FALSE),IF($C$9=551,VLOOKUP(B41,#REF!,MATCH($F$9,#REF!,0),FALSE))))))))),"REF. NÃO CADASTRADA NA TABELA")</f>
        <v/>
      </c>
      <c r="H41" s="36"/>
      <c r="I41" s="37" t="str">
        <f t="shared" si="0"/>
        <v/>
      </c>
      <c r="J41" s="33" t="str">
        <f t="shared" si="1"/>
        <v/>
      </c>
      <c r="K41" s="38" t="str">
        <f>IF($F$6="","",IF(B41="","",IF(C41="REF. NÃO CADASTRADA NA TABELA","",IFERROR(VLOOKUP(B41,#REF!,VLOOKUP($F$6,'BASE CONTÁBIL'!N:O,2,FALSE),FALSE),0))))</f>
        <v/>
      </c>
      <c r="L41" s="35" t="str">
        <f t="shared" si="2"/>
        <v/>
      </c>
      <c r="M41" s="35" t="str">
        <f t="shared" si="3"/>
        <v/>
      </c>
      <c r="N41" s="35" t="str">
        <f t="shared" si="4"/>
        <v/>
      </c>
      <c r="O41" s="35" t="str">
        <f t="shared" si="5"/>
        <v/>
      </c>
      <c r="P41" s="33" t="e">
        <f t="shared" si="6"/>
        <v>#REF!</v>
      </c>
      <c r="Q41" s="2"/>
      <c r="R41" s="2"/>
      <c r="S41" s="2"/>
      <c r="T41" s="2"/>
      <c r="U41" s="2"/>
    </row>
    <row r="42" spans="1:21" ht="12.75" customHeight="1" x14ac:dyDescent="0.2">
      <c r="A42" s="2"/>
      <c r="B42" s="31"/>
      <c r="C42" s="32" t="str">
        <f>IFERROR((IF(B42="","",IF($F$6="","Informar UF / Tabela / Prazo de Pagamento",IF($F$9="","Informar UF / Tabela / Prazo de Pagamento",IF($C$9="","Informar UF / Tabela / Prazo de Pagamento",VLOOKUP(B42,'Tabela 130 '!$A$5:$T$1001,2,FALSE)))))),"REF. NÃO CADASTRADA NA TABELA")</f>
        <v/>
      </c>
      <c r="D42" s="33" t="str">
        <f>IF('FOLHA DE PEDIDO '!B42="","",IF(C42="REF. NÃO CADASTRADA NA TABELA","",VLOOKUP(B42,'Tabela 130 '!$A$5:$AI$801,3,FALSE)))</f>
        <v/>
      </c>
      <c r="E42" s="34"/>
      <c r="F42" s="34"/>
      <c r="G42" s="35" t="str">
        <f>IFERROR(IF(C42="REF. NÃO CADASTRADA NA TABELA","",IF($C$9="","",IF($F$9="","",IF(B42="","",IF($C$9=119,VLOOKUP(B42,'Tabela 130 '!$A$5:$T$2711,MATCH($F$9,'Tabela 130 '!$A$5:$T$5,0),FALSE),IF($C$9=553,VLOOKUP(B42,#REF!,MATCH($F$9,#REF!,0),FALSE),IF($C$9=552,VLOOKUP(B42,#REF!,MATCH($F$9,#REF!,0),FALSE),IF($C$9=551,VLOOKUP(B42,#REF!,MATCH($F$9,#REF!,0),FALSE))))))))),"REF. NÃO CADASTRADA NA TABELA")</f>
        <v/>
      </c>
      <c r="H42" s="36"/>
      <c r="I42" s="37" t="str">
        <f t="shared" si="0"/>
        <v/>
      </c>
      <c r="J42" s="33" t="str">
        <f t="shared" si="1"/>
        <v/>
      </c>
      <c r="K42" s="38" t="str">
        <f>IF($F$6="","",IF(B42="","",IF(C42="REF. NÃO CADASTRADA NA TABELA","",IFERROR(VLOOKUP(B42,#REF!,VLOOKUP($F$6,'BASE CONTÁBIL'!N:O,2,FALSE),FALSE),0))))</f>
        <v/>
      </c>
      <c r="L42" s="35" t="str">
        <f t="shared" si="2"/>
        <v/>
      </c>
      <c r="M42" s="35" t="str">
        <f t="shared" si="3"/>
        <v/>
      </c>
      <c r="N42" s="35" t="str">
        <f t="shared" si="4"/>
        <v/>
      </c>
      <c r="O42" s="35" t="str">
        <f t="shared" si="5"/>
        <v/>
      </c>
      <c r="P42" s="33" t="e">
        <f t="shared" si="6"/>
        <v>#REF!</v>
      </c>
      <c r="Q42" s="2"/>
      <c r="R42" s="2"/>
      <c r="S42" s="2"/>
      <c r="T42" s="2"/>
      <c r="U42" s="2"/>
    </row>
    <row r="43" spans="1:21" ht="12.75" customHeight="1" x14ac:dyDescent="0.2">
      <c r="A43" s="2"/>
      <c r="B43" s="31"/>
      <c r="C43" s="32" t="str">
        <f>IFERROR((IF(B43="","",IF($F$6="","Informar UF / Tabela / Prazo de Pagamento",IF($F$9="","Informar UF / Tabela / Prazo de Pagamento",IF($C$9="","Informar UF / Tabela / Prazo de Pagamento",VLOOKUP(B43,'Tabela 130 '!$A$5:$T$1001,2,FALSE)))))),"REF. NÃO CADASTRADA NA TABELA")</f>
        <v/>
      </c>
      <c r="D43" s="33" t="str">
        <f>IF('FOLHA DE PEDIDO '!B43="","",IF(C43="REF. NÃO CADASTRADA NA TABELA","",VLOOKUP(B43,'Tabela 130 '!$A$5:$AI$801,3,FALSE)))</f>
        <v/>
      </c>
      <c r="E43" s="34"/>
      <c r="F43" s="34"/>
      <c r="G43" s="35" t="str">
        <f>IFERROR(IF(C43="REF. NÃO CADASTRADA NA TABELA","",IF($C$9="","",IF($F$9="","",IF(B43="","",IF($C$9=119,VLOOKUP(B43,'Tabela 130 '!$A$5:$T$2711,MATCH($F$9,'Tabela 130 '!$A$5:$T$5,0),FALSE),IF($C$9=553,VLOOKUP(B43,#REF!,MATCH($F$9,#REF!,0),FALSE),IF($C$9=552,VLOOKUP(B43,#REF!,MATCH($F$9,#REF!,0),FALSE),IF($C$9=551,VLOOKUP(B43,#REF!,MATCH($F$9,#REF!,0),FALSE))))))))),"REF. NÃO CADASTRADA NA TABELA")</f>
        <v/>
      </c>
      <c r="H43" s="36"/>
      <c r="I43" s="37" t="str">
        <f t="shared" si="0"/>
        <v/>
      </c>
      <c r="J43" s="33" t="str">
        <f t="shared" si="1"/>
        <v/>
      </c>
      <c r="K43" s="38" t="str">
        <f>IF($F$6="","",IF(B43="","",IF(C43="REF. NÃO CADASTRADA NA TABELA","",IFERROR(VLOOKUP(B43,#REF!,VLOOKUP($F$6,'BASE CONTÁBIL'!N:O,2,FALSE),FALSE),0))))</f>
        <v/>
      </c>
      <c r="L43" s="35" t="str">
        <f t="shared" si="2"/>
        <v/>
      </c>
      <c r="M43" s="35" t="str">
        <f t="shared" si="3"/>
        <v/>
      </c>
      <c r="N43" s="35" t="str">
        <f t="shared" si="4"/>
        <v/>
      </c>
      <c r="O43" s="35" t="str">
        <f t="shared" si="5"/>
        <v/>
      </c>
      <c r="P43" s="33" t="e">
        <f t="shared" si="6"/>
        <v>#REF!</v>
      </c>
      <c r="Q43" s="2"/>
      <c r="R43" s="2"/>
      <c r="S43" s="2"/>
      <c r="T43" s="2"/>
      <c r="U43" s="2"/>
    </row>
    <row r="44" spans="1:21" ht="12.75" customHeight="1" x14ac:dyDescent="0.2">
      <c r="A44" s="2"/>
      <c r="B44" s="31"/>
      <c r="C44" s="32" t="str">
        <f>IFERROR((IF(B44="","",IF($F$6="","Informar UF / Tabela / Prazo de Pagamento",IF($F$9="","Informar UF / Tabela / Prazo de Pagamento",IF($C$9="","Informar UF / Tabela / Prazo de Pagamento",VLOOKUP(B44,'Tabela 130 '!$A$5:$T$1001,2,FALSE)))))),"REF. NÃO CADASTRADA NA TABELA")</f>
        <v/>
      </c>
      <c r="D44" s="33" t="str">
        <f>IF('FOLHA DE PEDIDO '!B44="","",IF(C44="REF. NÃO CADASTRADA NA TABELA","",VLOOKUP(B44,'Tabela 130 '!$A$5:$AI$801,3,FALSE)))</f>
        <v/>
      </c>
      <c r="E44" s="34"/>
      <c r="F44" s="34"/>
      <c r="G44" s="35" t="str">
        <f>IFERROR(IF(C44="REF. NÃO CADASTRADA NA TABELA","",IF($C$9="","",IF($F$9="","",IF(B44="","",IF($C$9=119,VLOOKUP(B44,'Tabela 130 '!$A$5:$T$2711,MATCH($F$9,'Tabela 130 '!$A$5:$T$5,0),FALSE),IF($C$9=553,VLOOKUP(B44,#REF!,MATCH($F$9,#REF!,0),FALSE),IF($C$9=552,VLOOKUP(B44,#REF!,MATCH($F$9,#REF!,0),FALSE),IF($C$9=551,VLOOKUP(B44,#REF!,MATCH($F$9,#REF!,0),FALSE))))))))),"REF. NÃO CADASTRADA NA TABELA")</f>
        <v/>
      </c>
      <c r="H44" s="36"/>
      <c r="I44" s="37" t="str">
        <f t="shared" si="0"/>
        <v/>
      </c>
      <c r="J44" s="33" t="str">
        <f t="shared" si="1"/>
        <v/>
      </c>
      <c r="K44" s="38" t="str">
        <f>IF($F$6="","",IF(B44="","",IF(C44="REF. NÃO CADASTRADA NA TABELA","",IFERROR(VLOOKUP(B44,#REF!,VLOOKUP($F$6,'BASE CONTÁBIL'!N:O,2,FALSE),FALSE),0))))</f>
        <v/>
      </c>
      <c r="L44" s="35" t="str">
        <f t="shared" si="2"/>
        <v/>
      </c>
      <c r="M44" s="35" t="str">
        <f t="shared" si="3"/>
        <v/>
      </c>
      <c r="N44" s="35" t="str">
        <f t="shared" si="4"/>
        <v/>
      </c>
      <c r="O44" s="35" t="str">
        <f t="shared" si="5"/>
        <v/>
      </c>
      <c r="P44" s="33" t="e">
        <f t="shared" si="6"/>
        <v>#REF!</v>
      </c>
      <c r="Q44" s="2"/>
      <c r="R44" s="2"/>
      <c r="S44" s="2"/>
      <c r="T44" s="2"/>
      <c r="U44" s="2"/>
    </row>
    <row r="45" spans="1:21" ht="12.75" customHeight="1" x14ac:dyDescent="0.2">
      <c r="A45" s="2"/>
      <c r="B45" s="31"/>
      <c r="C45" s="32" t="str">
        <f>IFERROR((IF(B45="","",IF($F$6="","Informar UF / Tabela / Prazo de Pagamento",IF($F$9="","Informar UF / Tabela / Prazo de Pagamento",IF($C$9="","Informar UF / Tabela / Prazo de Pagamento",VLOOKUP(B45,'Tabela 130 '!$A$5:$T$1001,2,FALSE)))))),"REF. NÃO CADASTRADA NA TABELA")</f>
        <v/>
      </c>
      <c r="D45" s="33" t="str">
        <f>IF('FOLHA DE PEDIDO '!B45="","",IF(C45="REF. NÃO CADASTRADA NA TABELA","",VLOOKUP(B45,'Tabela 130 '!$A$5:$AI$801,3,FALSE)))</f>
        <v/>
      </c>
      <c r="E45" s="34"/>
      <c r="F45" s="34"/>
      <c r="G45" s="35" t="str">
        <f>IFERROR(IF(C45="REF. NÃO CADASTRADA NA TABELA","",IF($C$9="","",IF($F$9="","",IF(B45="","",IF($C$9=119,VLOOKUP(B45,'Tabela 130 '!$A$5:$T$2711,MATCH($F$9,'Tabela 130 '!$A$5:$T$5,0),FALSE),IF($C$9=553,VLOOKUP(B45,#REF!,MATCH($F$9,#REF!,0),FALSE),IF($C$9=552,VLOOKUP(B45,#REF!,MATCH($F$9,#REF!,0),FALSE),IF($C$9=551,VLOOKUP(B45,#REF!,MATCH($F$9,#REF!,0),FALSE))))))))),"REF. NÃO CADASTRADA NA TABELA")</f>
        <v/>
      </c>
      <c r="H45" s="36"/>
      <c r="I45" s="37" t="str">
        <f t="shared" si="0"/>
        <v/>
      </c>
      <c r="J45" s="33" t="str">
        <f t="shared" si="1"/>
        <v/>
      </c>
      <c r="K45" s="38" t="str">
        <f>IF($F$6="","",IF(B45="","",IF(C45="REF. NÃO CADASTRADA NA TABELA","",IFERROR(VLOOKUP(B45,#REF!,VLOOKUP($F$6,'BASE CONTÁBIL'!N:O,2,FALSE),FALSE),0))))</f>
        <v/>
      </c>
      <c r="L45" s="35" t="str">
        <f t="shared" si="2"/>
        <v/>
      </c>
      <c r="M45" s="35" t="str">
        <f t="shared" si="3"/>
        <v/>
      </c>
      <c r="N45" s="35" t="str">
        <f t="shared" si="4"/>
        <v/>
      </c>
      <c r="O45" s="35" t="str">
        <f t="shared" si="5"/>
        <v/>
      </c>
      <c r="P45" s="33" t="e">
        <f t="shared" si="6"/>
        <v>#REF!</v>
      </c>
      <c r="Q45" s="2"/>
      <c r="R45" s="2"/>
      <c r="S45" s="2"/>
      <c r="T45" s="2"/>
      <c r="U45" s="2"/>
    </row>
    <row r="46" spans="1:21" ht="12.75" customHeight="1" x14ac:dyDescent="0.2">
      <c r="A46" s="2"/>
      <c r="B46" s="31"/>
      <c r="C46" s="32" t="str">
        <f>IFERROR((IF(B46="","",IF($F$6="","Informar UF / Tabela / Prazo de Pagamento",IF($F$9="","Informar UF / Tabela / Prazo de Pagamento",IF($C$9="","Informar UF / Tabela / Prazo de Pagamento",VLOOKUP(B46,'Tabela 130 '!$A$5:$T$1001,2,FALSE)))))),"REF. NÃO CADASTRADA NA TABELA")</f>
        <v/>
      </c>
      <c r="D46" s="33" t="str">
        <f>IF('FOLHA DE PEDIDO '!B46="","",IF(C46="REF. NÃO CADASTRADA NA TABELA","",VLOOKUP(B46,'Tabela 130 '!$A$5:$AI$801,3,FALSE)))</f>
        <v/>
      </c>
      <c r="E46" s="34"/>
      <c r="F46" s="34"/>
      <c r="G46" s="35" t="str">
        <f>IFERROR(IF(C46="REF. NÃO CADASTRADA NA TABELA","",IF($C$9="","",IF($F$9="","",IF(B46="","",IF($C$9=119,VLOOKUP(B46,'Tabela 130 '!$A$5:$T$2711,MATCH($F$9,'Tabela 130 '!$A$5:$T$5,0),FALSE),IF($C$9=553,VLOOKUP(B46,#REF!,MATCH($F$9,#REF!,0),FALSE),IF($C$9=552,VLOOKUP(B46,#REF!,MATCH($F$9,#REF!,0),FALSE),IF($C$9=551,VLOOKUP(B46,#REF!,MATCH($F$9,#REF!,0),FALSE))))))))),"REF. NÃO CADASTRADA NA TABELA")</f>
        <v/>
      </c>
      <c r="H46" s="36"/>
      <c r="I46" s="37" t="str">
        <f t="shared" si="0"/>
        <v/>
      </c>
      <c r="J46" s="33" t="str">
        <f t="shared" si="1"/>
        <v/>
      </c>
      <c r="K46" s="38" t="str">
        <f>IF($F$6="","",IF(B46="","",IF(C46="REF. NÃO CADASTRADA NA TABELA","",IFERROR(VLOOKUP(B46,#REF!,VLOOKUP($F$6,'BASE CONTÁBIL'!N:O,2,FALSE),FALSE),0))))</f>
        <v/>
      </c>
      <c r="L46" s="35" t="str">
        <f t="shared" si="2"/>
        <v/>
      </c>
      <c r="M46" s="35" t="str">
        <f t="shared" si="3"/>
        <v/>
      </c>
      <c r="N46" s="35" t="str">
        <f t="shared" si="4"/>
        <v/>
      </c>
      <c r="O46" s="35" t="str">
        <f t="shared" si="5"/>
        <v/>
      </c>
      <c r="P46" s="33" t="e">
        <f t="shared" si="6"/>
        <v>#REF!</v>
      </c>
      <c r="Q46" s="2"/>
      <c r="R46" s="2"/>
      <c r="S46" s="2"/>
      <c r="T46" s="2"/>
      <c r="U46" s="2"/>
    </row>
    <row r="47" spans="1:21" ht="12.75" customHeight="1" x14ac:dyDescent="0.2">
      <c r="A47" s="2"/>
      <c r="B47" s="31"/>
      <c r="C47" s="32" t="str">
        <f>IFERROR((IF(B47="","",IF($F$6="","Informar UF / Tabela / Prazo de Pagamento",IF($F$9="","Informar UF / Tabela / Prazo de Pagamento",IF($C$9="","Informar UF / Tabela / Prazo de Pagamento",VLOOKUP(B47,'Tabela 130 '!$A$5:$T$1001,2,FALSE)))))),"REF. NÃO CADASTRADA NA TABELA")</f>
        <v/>
      </c>
      <c r="D47" s="33" t="str">
        <f>IF('FOLHA DE PEDIDO '!B47="","",IF(C47="REF. NÃO CADASTRADA NA TABELA","",VLOOKUP(B47,'Tabela 130 '!$A$5:$AI$801,3,FALSE)))</f>
        <v/>
      </c>
      <c r="E47" s="34"/>
      <c r="F47" s="34"/>
      <c r="G47" s="35" t="str">
        <f>IFERROR(IF(C47="REF. NÃO CADASTRADA NA TABELA","",IF($C$9="","",IF($F$9="","",IF(B47="","",IF($C$9=119,VLOOKUP(B47,'Tabela 130 '!$A$5:$T$2711,MATCH($F$9,'Tabela 130 '!$A$5:$T$5,0),FALSE),IF($C$9=553,VLOOKUP(B47,#REF!,MATCH($F$9,#REF!,0),FALSE),IF($C$9=552,VLOOKUP(B47,#REF!,MATCH($F$9,#REF!,0),FALSE),IF($C$9=551,VLOOKUP(B47,#REF!,MATCH($F$9,#REF!,0),FALSE))))))))),"REF. NÃO CADASTRADA NA TABELA")</f>
        <v/>
      </c>
      <c r="H47" s="36"/>
      <c r="I47" s="37" t="str">
        <f t="shared" si="0"/>
        <v/>
      </c>
      <c r="J47" s="33" t="str">
        <f t="shared" si="1"/>
        <v/>
      </c>
      <c r="K47" s="38" t="str">
        <f>IF($F$6="","",IF(B47="","",IF(C47="REF. NÃO CADASTRADA NA TABELA","",IFERROR(VLOOKUP(B47,#REF!,VLOOKUP($F$6,'BASE CONTÁBIL'!N:O,2,FALSE),FALSE),0))))</f>
        <v/>
      </c>
      <c r="L47" s="35" t="str">
        <f t="shared" si="2"/>
        <v/>
      </c>
      <c r="M47" s="35" t="str">
        <f t="shared" si="3"/>
        <v/>
      </c>
      <c r="N47" s="35" t="str">
        <f t="shared" si="4"/>
        <v/>
      </c>
      <c r="O47" s="35" t="str">
        <f t="shared" si="5"/>
        <v/>
      </c>
      <c r="P47" s="33" t="e">
        <f t="shared" si="6"/>
        <v>#REF!</v>
      </c>
      <c r="Q47" s="2"/>
      <c r="R47" s="2"/>
      <c r="S47" s="2"/>
      <c r="T47" s="2"/>
      <c r="U47" s="2"/>
    </row>
    <row r="48" spans="1:21" ht="12.75" customHeight="1" x14ac:dyDescent="0.2">
      <c r="A48" s="2"/>
      <c r="B48" s="31"/>
      <c r="C48" s="32" t="str">
        <f>IFERROR((IF(B48="","",IF($F$6="","Informar UF / Tabela / Prazo de Pagamento",IF($F$9="","Informar UF / Tabela / Prazo de Pagamento",IF($C$9="","Informar UF / Tabela / Prazo de Pagamento",VLOOKUP(B48,'Tabela 130 '!$A$5:$T$1001,2,FALSE)))))),"REF. NÃO CADASTRADA NA TABELA")</f>
        <v/>
      </c>
      <c r="D48" s="33" t="str">
        <f>IF('FOLHA DE PEDIDO '!B48="","",IF(C48="REF. NÃO CADASTRADA NA TABELA","",VLOOKUP(B48,'Tabela 130 '!$A$5:$AI$801,3,FALSE)))</f>
        <v/>
      </c>
      <c r="E48" s="34"/>
      <c r="F48" s="34"/>
      <c r="G48" s="35" t="str">
        <f>IFERROR(IF(C48="REF. NÃO CADASTRADA NA TABELA","",IF($C$9="","",IF($F$9="","",IF(B48="","",IF($C$9=119,VLOOKUP(B48,'Tabela 130 '!$A$5:$T$2711,MATCH($F$9,'Tabela 130 '!$A$5:$T$5,0),FALSE),IF($C$9=553,VLOOKUP(B48,#REF!,MATCH($F$9,#REF!,0),FALSE),IF($C$9=552,VLOOKUP(B48,#REF!,MATCH($F$9,#REF!,0),FALSE),IF($C$9=551,VLOOKUP(B48,#REF!,MATCH($F$9,#REF!,0),FALSE))))))))),"REF. NÃO CADASTRADA NA TABELA")</f>
        <v/>
      </c>
      <c r="H48" s="36"/>
      <c r="I48" s="37" t="str">
        <f t="shared" si="0"/>
        <v/>
      </c>
      <c r="J48" s="33" t="str">
        <f t="shared" si="1"/>
        <v/>
      </c>
      <c r="K48" s="38" t="str">
        <f>IF($F$6="","",IF(B48="","",IF(C48="REF. NÃO CADASTRADA NA TABELA","",IFERROR(VLOOKUP(B48,#REF!,VLOOKUP($F$6,'BASE CONTÁBIL'!N:O,2,FALSE),FALSE),0))))</f>
        <v/>
      </c>
      <c r="L48" s="35" t="str">
        <f t="shared" si="2"/>
        <v/>
      </c>
      <c r="M48" s="35" t="str">
        <f t="shared" si="3"/>
        <v/>
      </c>
      <c r="N48" s="35" t="str">
        <f t="shared" si="4"/>
        <v/>
      </c>
      <c r="O48" s="35" t="str">
        <f t="shared" si="5"/>
        <v/>
      </c>
      <c r="P48" s="33" t="e">
        <f t="shared" si="6"/>
        <v>#REF!</v>
      </c>
      <c r="Q48" s="2"/>
      <c r="R48" s="2"/>
      <c r="S48" s="2"/>
      <c r="T48" s="2"/>
      <c r="U48" s="2"/>
    </row>
    <row r="49" spans="1:21" ht="12.75" customHeight="1" x14ac:dyDescent="0.2">
      <c r="A49" s="2"/>
      <c r="B49" s="31"/>
      <c r="C49" s="32" t="str">
        <f>IFERROR((IF(B49="","",IF($F$6="","Informar UF / Tabela / Prazo de Pagamento",IF($F$9="","Informar UF / Tabela / Prazo de Pagamento",IF($C$9="","Informar UF / Tabela / Prazo de Pagamento",VLOOKUP(B49,'Tabela 130 '!$A$5:$T$1001,2,FALSE)))))),"REF. NÃO CADASTRADA NA TABELA")</f>
        <v/>
      </c>
      <c r="D49" s="33" t="str">
        <f>IF('FOLHA DE PEDIDO '!B49="","",IF(C49="REF. NÃO CADASTRADA NA TABELA","",VLOOKUP(B49,'Tabela 130 '!$A$5:$AI$801,3,FALSE)))</f>
        <v/>
      </c>
      <c r="E49" s="34"/>
      <c r="F49" s="34"/>
      <c r="G49" s="35" t="str">
        <f>IFERROR(IF(C49="REF. NÃO CADASTRADA NA TABELA","",IF($C$9="","",IF($F$9="","",IF(B49="","",IF($C$9=119,VLOOKUP(B49,'Tabela 130 '!$A$5:$T$2711,MATCH($F$9,'Tabela 130 '!$A$5:$T$5,0),FALSE),IF($C$9=553,VLOOKUP(B49,#REF!,MATCH($F$9,#REF!,0),FALSE),IF($C$9=552,VLOOKUP(B49,#REF!,MATCH($F$9,#REF!,0),FALSE),IF($C$9=551,VLOOKUP(B49,#REF!,MATCH($F$9,#REF!,0),FALSE))))))))),"REF. NÃO CADASTRADA NA TABELA")</f>
        <v/>
      </c>
      <c r="H49" s="36"/>
      <c r="I49" s="37" t="str">
        <f t="shared" si="0"/>
        <v/>
      </c>
      <c r="J49" s="33" t="str">
        <f t="shared" si="1"/>
        <v/>
      </c>
      <c r="K49" s="38" t="str">
        <f>IF($F$6="","",IF(B49="","",IF(C49="REF. NÃO CADASTRADA NA TABELA","",IFERROR(VLOOKUP(B49,#REF!,VLOOKUP($F$6,'BASE CONTÁBIL'!N:O,2,FALSE),FALSE),0))))</f>
        <v/>
      </c>
      <c r="L49" s="35" t="str">
        <f t="shared" si="2"/>
        <v/>
      </c>
      <c r="M49" s="35" t="str">
        <f t="shared" si="3"/>
        <v/>
      </c>
      <c r="N49" s="35" t="str">
        <f t="shared" si="4"/>
        <v/>
      </c>
      <c r="O49" s="35" t="str">
        <f t="shared" si="5"/>
        <v/>
      </c>
      <c r="P49" s="33" t="e">
        <f t="shared" si="6"/>
        <v>#REF!</v>
      </c>
      <c r="Q49" s="2"/>
      <c r="R49" s="2"/>
      <c r="S49" s="2"/>
      <c r="T49" s="2"/>
      <c r="U49" s="2"/>
    </row>
    <row r="50" spans="1:21" ht="12.75" customHeight="1" x14ac:dyDescent="0.2">
      <c r="A50" s="2"/>
      <c r="B50" s="31"/>
      <c r="C50" s="32" t="str">
        <f>IFERROR((IF(B50="","",IF($F$6="","Informar UF / Tabela / Prazo de Pagamento",IF($F$9="","Informar UF / Tabela / Prazo de Pagamento",IF($C$9="","Informar UF / Tabela / Prazo de Pagamento",VLOOKUP(B50,'Tabela 130 '!$A$5:$T$1001,2,FALSE)))))),"REF. NÃO CADASTRADA NA TABELA")</f>
        <v/>
      </c>
      <c r="D50" s="33" t="str">
        <f>IF('FOLHA DE PEDIDO '!B50="","",IF(C50="REF. NÃO CADASTRADA NA TABELA","",VLOOKUP(B50,'Tabela 130 '!$A$5:$AI$801,3,FALSE)))</f>
        <v/>
      </c>
      <c r="E50" s="34"/>
      <c r="F50" s="34"/>
      <c r="G50" s="35" t="str">
        <f>IFERROR(IF(C50="REF. NÃO CADASTRADA NA TABELA","",IF($C$9="","",IF($F$9="","",IF(B50="","",IF($C$9=119,VLOOKUP(B50,'Tabela 130 '!$A$5:$T$2711,MATCH($F$9,'Tabela 130 '!$A$5:$T$5,0),FALSE),IF($C$9=553,VLOOKUP(B50,#REF!,MATCH($F$9,#REF!,0),FALSE),IF($C$9=552,VLOOKUP(B50,#REF!,MATCH($F$9,#REF!,0),FALSE),IF($C$9=551,VLOOKUP(B50,#REF!,MATCH($F$9,#REF!,0),FALSE))))))))),"REF. NÃO CADASTRADA NA TABELA")</f>
        <v/>
      </c>
      <c r="H50" s="36"/>
      <c r="I50" s="37" t="str">
        <f t="shared" si="0"/>
        <v/>
      </c>
      <c r="J50" s="33" t="str">
        <f t="shared" si="1"/>
        <v/>
      </c>
      <c r="K50" s="38" t="str">
        <f>IF($F$6="","",IF(B50="","",IF(C50="REF. NÃO CADASTRADA NA TABELA","",IFERROR(VLOOKUP(B50,#REF!,VLOOKUP($F$6,'BASE CONTÁBIL'!N:O,2,FALSE),FALSE),0))))</f>
        <v/>
      </c>
      <c r="L50" s="35" t="str">
        <f t="shared" si="2"/>
        <v/>
      </c>
      <c r="M50" s="35" t="str">
        <f t="shared" si="3"/>
        <v/>
      </c>
      <c r="N50" s="35" t="str">
        <f t="shared" si="4"/>
        <v/>
      </c>
      <c r="O50" s="35" t="str">
        <f t="shared" si="5"/>
        <v/>
      </c>
      <c r="P50" s="33" t="e">
        <f t="shared" si="6"/>
        <v>#REF!</v>
      </c>
      <c r="Q50" s="2"/>
      <c r="R50" s="2"/>
      <c r="S50" s="2"/>
      <c r="T50" s="2"/>
      <c r="U50" s="2"/>
    </row>
    <row r="51" spans="1:21" ht="12.75" customHeight="1" x14ac:dyDescent="0.2">
      <c r="A51" s="2"/>
      <c r="B51" s="31"/>
      <c r="C51" s="32" t="str">
        <f>IFERROR((IF(B51="","",IF($F$6="","Informar UF / Tabela / Prazo de Pagamento",IF($F$9="","Informar UF / Tabela / Prazo de Pagamento",IF($C$9="","Informar UF / Tabela / Prazo de Pagamento",VLOOKUP(B51,'Tabela 130 '!$A$5:$T$1001,2,FALSE)))))),"REF. NÃO CADASTRADA NA TABELA")</f>
        <v/>
      </c>
      <c r="D51" s="33" t="str">
        <f>IF('FOLHA DE PEDIDO '!B51="","",IF(C51="REF. NÃO CADASTRADA NA TABELA","",VLOOKUP(B51,'Tabela 130 '!$A$5:$AI$801,3,FALSE)))</f>
        <v/>
      </c>
      <c r="E51" s="34"/>
      <c r="F51" s="34"/>
      <c r="G51" s="35" t="str">
        <f>IFERROR(IF(C51="REF. NÃO CADASTRADA NA TABELA","",IF($C$9="","",IF($F$9="","",IF(B51="","",IF($C$9=119,VLOOKUP(B51,'Tabela 130 '!$A$5:$T$2711,MATCH($F$9,'Tabela 130 '!$A$5:$T$5,0),FALSE),IF($C$9=553,VLOOKUP(B51,#REF!,MATCH($F$9,#REF!,0),FALSE),IF($C$9=552,VLOOKUP(B51,#REF!,MATCH($F$9,#REF!,0),FALSE),IF($C$9=551,VLOOKUP(B51,#REF!,MATCH($F$9,#REF!,0),FALSE))))))))),"REF. NÃO CADASTRADA NA TABELA")</f>
        <v/>
      </c>
      <c r="H51" s="36"/>
      <c r="I51" s="37" t="str">
        <f t="shared" si="0"/>
        <v/>
      </c>
      <c r="J51" s="33" t="str">
        <f t="shared" si="1"/>
        <v/>
      </c>
      <c r="K51" s="38" t="str">
        <f>IF($F$6="","",IF(B51="","",IF(C51="REF. NÃO CADASTRADA NA TABELA","",IFERROR(VLOOKUP(B51,#REF!,VLOOKUP($F$6,'BASE CONTÁBIL'!N:O,2,FALSE),FALSE),0))))</f>
        <v/>
      </c>
      <c r="L51" s="35" t="str">
        <f t="shared" si="2"/>
        <v/>
      </c>
      <c r="M51" s="35" t="str">
        <f t="shared" si="3"/>
        <v/>
      </c>
      <c r="N51" s="35" t="str">
        <f t="shared" si="4"/>
        <v/>
      </c>
      <c r="O51" s="35" t="str">
        <f t="shared" si="5"/>
        <v/>
      </c>
      <c r="P51" s="33" t="e">
        <f t="shared" si="6"/>
        <v>#REF!</v>
      </c>
      <c r="Q51" s="2"/>
      <c r="R51" s="2"/>
      <c r="S51" s="2"/>
      <c r="T51" s="2"/>
      <c r="U51" s="2"/>
    </row>
    <row r="52" spans="1:21" ht="12.75" customHeight="1" x14ac:dyDescent="0.2">
      <c r="A52" s="2"/>
      <c r="B52" s="31"/>
      <c r="C52" s="32" t="str">
        <f>IFERROR((IF(B52="","",IF($F$6="","Informar UF / Tabela / Prazo de Pagamento",IF($F$9="","Informar UF / Tabela / Prazo de Pagamento",IF($C$9="","Informar UF / Tabela / Prazo de Pagamento",VLOOKUP(B52,'Tabela 130 '!$A$5:$T$1001,2,FALSE)))))),"REF. NÃO CADASTRADA NA TABELA")</f>
        <v/>
      </c>
      <c r="D52" s="33" t="str">
        <f>IF('FOLHA DE PEDIDO '!B52="","",IF(C52="REF. NÃO CADASTRADA NA TABELA","",VLOOKUP(B52,'Tabela 130 '!$A$5:$AI$801,3,FALSE)))</f>
        <v/>
      </c>
      <c r="E52" s="34"/>
      <c r="F52" s="34"/>
      <c r="G52" s="35" t="str">
        <f>IFERROR(IF(C52="REF. NÃO CADASTRADA NA TABELA","",IF($C$9="","",IF($F$9="","",IF(B52="","",IF($C$9=119,VLOOKUP(B52,'Tabela 130 '!$A$5:$T$2711,MATCH($F$9,'Tabela 130 '!$A$5:$T$5,0),FALSE),IF($C$9=553,VLOOKUP(B52,#REF!,MATCH($F$9,#REF!,0),FALSE),IF($C$9=552,VLOOKUP(B52,#REF!,MATCH($F$9,#REF!,0),FALSE),IF($C$9=551,VLOOKUP(B52,#REF!,MATCH($F$9,#REF!,0),FALSE))))))))),"REF. NÃO CADASTRADA NA TABELA")</f>
        <v/>
      </c>
      <c r="H52" s="36"/>
      <c r="I52" s="37" t="str">
        <f t="shared" si="0"/>
        <v/>
      </c>
      <c r="J52" s="33" t="str">
        <f t="shared" si="1"/>
        <v/>
      </c>
      <c r="K52" s="38" t="str">
        <f>IF($F$6="","",IF(B52="","",IF(C52="REF. NÃO CADASTRADA NA TABELA","",IFERROR(VLOOKUP(B52,#REF!,VLOOKUP($F$6,'BASE CONTÁBIL'!N:O,2,FALSE),FALSE),0))))</f>
        <v/>
      </c>
      <c r="L52" s="35" t="str">
        <f t="shared" si="2"/>
        <v/>
      </c>
      <c r="M52" s="35" t="str">
        <f t="shared" si="3"/>
        <v/>
      </c>
      <c r="N52" s="35" t="str">
        <f t="shared" si="4"/>
        <v/>
      </c>
      <c r="O52" s="35" t="str">
        <f t="shared" si="5"/>
        <v/>
      </c>
      <c r="P52" s="33" t="e">
        <f t="shared" si="6"/>
        <v>#REF!</v>
      </c>
      <c r="Q52" s="2"/>
      <c r="R52" s="2"/>
      <c r="S52" s="2"/>
      <c r="T52" s="2"/>
      <c r="U52" s="2"/>
    </row>
    <row r="53" spans="1:21" ht="12.75" customHeight="1" x14ac:dyDescent="0.2">
      <c r="A53" s="2"/>
      <c r="B53" s="31"/>
      <c r="C53" s="32" t="str">
        <f>IFERROR((IF(B53="","",IF($F$6="","Informar UF / Tabela / Prazo de Pagamento",IF($F$9="","Informar UF / Tabela / Prazo de Pagamento",IF($C$9="","Informar UF / Tabela / Prazo de Pagamento",VLOOKUP(B53,'Tabela 130 '!$A$5:$T$1001,2,FALSE)))))),"REF. NÃO CADASTRADA NA TABELA")</f>
        <v/>
      </c>
      <c r="D53" s="33" t="str">
        <f>IF('FOLHA DE PEDIDO '!B53="","",IF(C53="REF. NÃO CADASTRADA NA TABELA","",VLOOKUP(B53,'Tabela 130 '!$A$5:$AI$801,3,FALSE)))</f>
        <v/>
      </c>
      <c r="E53" s="34"/>
      <c r="F53" s="34"/>
      <c r="G53" s="35" t="str">
        <f>IFERROR(IF(C53="REF. NÃO CADASTRADA NA TABELA","",IF($C$9="","",IF($F$9="","",IF(B53="","",IF($C$9=119,VLOOKUP(B53,'Tabela 130 '!$A$5:$T$2711,MATCH($F$9,'Tabela 130 '!$A$5:$T$5,0),FALSE),IF($C$9=553,VLOOKUP(B53,#REF!,MATCH($F$9,#REF!,0),FALSE),IF($C$9=552,VLOOKUP(B53,#REF!,MATCH($F$9,#REF!,0),FALSE),IF($C$9=551,VLOOKUP(B53,#REF!,MATCH($F$9,#REF!,0),FALSE))))))))),"REF. NÃO CADASTRADA NA TABELA")</f>
        <v/>
      </c>
      <c r="H53" s="36"/>
      <c r="I53" s="37" t="str">
        <f t="shared" si="0"/>
        <v/>
      </c>
      <c r="J53" s="33" t="str">
        <f t="shared" si="1"/>
        <v/>
      </c>
      <c r="K53" s="38" t="str">
        <f>IF($F$6="","",IF(B53="","",IF(C53="REF. NÃO CADASTRADA NA TABELA","",IFERROR(VLOOKUP(B53,#REF!,VLOOKUP($F$6,'BASE CONTÁBIL'!N:O,2,FALSE),FALSE),0))))</f>
        <v/>
      </c>
      <c r="L53" s="35" t="str">
        <f t="shared" si="2"/>
        <v/>
      </c>
      <c r="M53" s="35" t="str">
        <f t="shared" si="3"/>
        <v/>
      </c>
      <c r="N53" s="35" t="str">
        <f t="shared" si="4"/>
        <v/>
      </c>
      <c r="O53" s="35" t="str">
        <f t="shared" si="5"/>
        <v/>
      </c>
      <c r="P53" s="33" t="e">
        <f t="shared" si="6"/>
        <v>#REF!</v>
      </c>
      <c r="Q53" s="2"/>
      <c r="R53" s="2"/>
      <c r="S53" s="2"/>
      <c r="T53" s="2"/>
      <c r="U53" s="2"/>
    </row>
    <row r="54" spans="1:21" ht="12.75" customHeight="1" x14ac:dyDescent="0.2">
      <c r="A54" s="2"/>
      <c r="B54" s="31"/>
      <c r="C54" s="32" t="str">
        <f>IFERROR((IF(B54="","",IF($F$6="","Informar UF / Tabela / Prazo de Pagamento",IF($F$9="","Informar UF / Tabela / Prazo de Pagamento",IF($C$9="","Informar UF / Tabela / Prazo de Pagamento",VLOOKUP(B54,'Tabela 130 '!$A$5:$T$1001,2,FALSE)))))),"REF. NÃO CADASTRADA NA TABELA")</f>
        <v/>
      </c>
      <c r="D54" s="33" t="str">
        <f>IF('FOLHA DE PEDIDO '!B54="","",IF(C54="REF. NÃO CADASTRADA NA TABELA","",VLOOKUP(B54,'Tabela 130 '!$A$5:$AI$801,3,FALSE)))</f>
        <v/>
      </c>
      <c r="E54" s="34"/>
      <c r="F54" s="34"/>
      <c r="G54" s="35" t="str">
        <f>IFERROR(IF(C54="REF. NÃO CADASTRADA NA TABELA","",IF($C$9="","",IF($F$9="","",IF(B54="","",IF($C$9=119,VLOOKUP(B54,'Tabela 130 '!$A$5:$T$2711,MATCH($F$9,'Tabela 130 '!$A$5:$T$5,0),FALSE),IF($C$9=553,VLOOKUP(B54,#REF!,MATCH($F$9,#REF!,0),FALSE),IF($C$9=552,VLOOKUP(B54,#REF!,MATCH($F$9,#REF!,0),FALSE),IF($C$9=551,VLOOKUP(B54,#REF!,MATCH($F$9,#REF!,0),FALSE))))))))),"REF. NÃO CADASTRADA NA TABELA")</f>
        <v/>
      </c>
      <c r="H54" s="36"/>
      <c r="I54" s="37" t="str">
        <f t="shared" si="0"/>
        <v/>
      </c>
      <c r="J54" s="33" t="str">
        <f t="shared" si="1"/>
        <v/>
      </c>
      <c r="K54" s="38" t="str">
        <f>IF($F$6="","",IF(B54="","",IF(C54="REF. NÃO CADASTRADA NA TABELA","",IFERROR(VLOOKUP(B54,#REF!,VLOOKUP($F$6,'BASE CONTÁBIL'!N:O,2,FALSE),FALSE),0))))</f>
        <v/>
      </c>
      <c r="L54" s="35" t="str">
        <f t="shared" si="2"/>
        <v/>
      </c>
      <c r="M54" s="35" t="str">
        <f t="shared" si="3"/>
        <v/>
      </c>
      <c r="N54" s="35" t="str">
        <f t="shared" si="4"/>
        <v/>
      </c>
      <c r="O54" s="35" t="str">
        <f t="shared" si="5"/>
        <v/>
      </c>
      <c r="P54" s="33" t="e">
        <f t="shared" si="6"/>
        <v>#REF!</v>
      </c>
      <c r="Q54" s="2"/>
      <c r="R54" s="2"/>
      <c r="S54" s="2"/>
      <c r="T54" s="2"/>
      <c r="U54" s="2"/>
    </row>
    <row r="55" spans="1:21" ht="12.75" customHeight="1" x14ac:dyDescent="0.2">
      <c r="A55" s="2"/>
      <c r="B55" s="31"/>
      <c r="C55" s="32" t="str">
        <f>IFERROR((IF(B55="","",IF($F$6="","Informar UF / Tabela / Prazo de Pagamento",IF($F$9="","Informar UF / Tabela / Prazo de Pagamento",IF($C$9="","Informar UF / Tabela / Prazo de Pagamento",VLOOKUP(B55,'Tabela 130 '!$A$5:$T$1001,2,FALSE)))))),"REF. NÃO CADASTRADA NA TABELA")</f>
        <v/>
      </c>
      <c r="D55" s="33" t="str">
        <f>IF('FOLHA DE PEDIDO '!B55="","",IF(C55="REF. NÃO CADASTRADA NA TABELA","",VLOOKUP(B55,'Tabela 130 '!$A$5:$AI$801,3,FALSE)))</f>
        <v/>
      </c>
      <c r="E55" s="34"/>
      <c r="F55" s="34"/>
      <c r="G55" s="35" t="str">
        <f>IFERROR(IF(C55="REF. NÃO CADASTRADA NA TABELA","",IF($C$9="","",IF($F$9="","",IF(B55="","",IF($C$9=119,VLOOKUP(B55,'Tabela 130 '!$A$5:$T$2711,MATCH($F$9,'Tabela 130 '!$A$5:$T$5,0),FALSE),IF($C$9=553,VLOOKUP(B55,#REF!,MATCH($F$9,#REF!,0),FALSE),IF($C$9=552,VLOOKUP(B55,#REF!,MATCH($F$9,#REF!,0),FALSE),IF($C$9=551,VLOOKUP(B55,#REF!,MATCH($F$9,#REF!,0),FALSE))))))))),"REF. NÃO CADASTRADA NA TABELA")</f>
        <v/>
      </c>
      <c r="H55" s="36"/>
      <c r="I55" s="37" t="str">
        <f t="shared" si="0"/>
        <v/>
      </c>
      <c r="J55" s="33" t="str">
        <f t="shared" si="1"/>
        <v/>
      </c>
      <c r="K55" s="38" t="str">
        <f>IF($F$6="","",IF(B55="","",IF(C55="REF. NÃO CADASTRADA NA TABELA","",IFERROR(VLOOKUP(B55,#REF!,VLOOKUP($F$6,'BASE CONTÁBIL'!N:O,2,FALSE),FALSE),0))))</f>
        <v/>
      </c>
      <c r="L55" s="35" t="str">
        <f t="shared" si="2"/>
        <v/>
      </c>
      <c r="M55" s="35" t="str">
        <f t="shared" si="3"/>
        <v/>
      </c>
      <c r="N55" s="35" t="str">
        <f t="shared" si="4"/>
        <v/>
      </c>
      <c r="O55" s="35" t="str">
        <f t="shared" si="5"/>
        <v/>
      </c>
      <c r="P55" s="33" t="e">
        <f t="shared" si="6"/>
        <v>#REF!</v>
      </c>
      <c r="Q55" s="2"/>
      <c r="R55" s="2"/>
      <c r="S55" s="2"/>
      <c r="T55" s="2"/>
      <c r="U55" s="2"/>
    </row>
    <row r="56" spans="1:21" ht="12.75" customHeight="1" x14ac:dyDescent="0.2">
      <c r="A56" s="2"/>
      <c r="B56" s="31"/>
      <c r="C56" s="32" t="str">
        <f>IFERROR((IF(B56="","",IF($F$6="","Informar UF / Tabela / Prazo de Pagamento",IF($F$9="","Informar UF / Tabela / Prazo de Pagamento",IF($C$9="","Informar UF / Tabela / Prazo de Pagamento",VLOOKUP(B56,'Tabela 130 '!$A$5:$T$1001,2,FALSE)))))),"REF. NÃO CADASTRADA NA TABELA")</f>
        <v/>
      </c>
      <c r="D56" s="33" t="str">
        <f>IF('FOLHA DE PEDIDO '!B56="","",IF(C56="REF. NÃO CADASTRADA NA TABELA","",VLOOKUP(B56,'Tabela 130 '!$A$5:$AI$801,3,FALSE)))</f>
        <v/>
      </c>
      <c r="E56" s="34"/>
      <c r="F56" s="34"/>
      <c r="G56" s="35" t="str">
        <f>IFERROR(IF(C56="REF. NÃO CADASTRADA NA TABELA","",IF($C$9="","",IF($F$9="","",IF(B56="","",IF($C$9=119,VLOOKUP(B56,'Tabela 130 '!$A$5:$T$2711,MATCH($F$9,'Tabela 130 '!$A$5:$T$5,0),FALSE),IF($C$9=553,VLOOKUP(B56,#REF!,MATCH($F$9,#REF!,0),FALSE),IF($C$9=552,VLOOKUP(B56,#REF!,MATCH($F$9,#REF!,0),FALSE),IF($C$9=551,VLOOKUP(B56,#REF!,MATCH($F$9,#REF!,0),FALSE))))))))),"REF. NÃO CADASTRADA NA TABELA")</f>
        <v/>
      </c>
      <c r="H56" s="36"/>
      <c r="I56" s="37" t="str">
        <f t="shared" si="0"/>
        <v/>
      </c>
      <c r="J56" s="33" t="str">
        <f t="shared" si="1"/>
        <v/>
      </c>
      <c r="K56" s="38" t="str">
        <f>IF($F$6="","",IF(B56="","",IF(C56="REF. NÃO CADASTRADA NA TABELA","",IFERROR(VLOOKUP(B56,#REF!,VLOOKUP($F$6,'BASE CONTÁBIL'!N:O,2,FALSE),FALSE),0))))</f>
        <v/>
      </c>
      <c r="L56" s="35" t="str">
        <f t="shared" si="2"/>
        <v/>
      </c>
      <c r="M56" s="35" t="str">
        <f t="shared" si="3"/>
        <v/>
      </c>
      <c r="N56" s="35" t="str">
        <f t="shared" si="4"/>
        <v/>
      </c>
      <c r="O56" s="35" t="str">
        <f t="shared" si="5"/>
        <v/>
      </c>
      <c r="P56" s="33" t="e">
        <f t="shared" si="6"/>
        <v>#REF!</v>
      </c>
      <c r="Q56" s="2"/>
      <c r="R56" s="2"/>
      <c r="S56" s="2"/>
      <c r="T56" s="2"/>
      <c r="U56" s="2"/>
    </row>
    <row r="57" spans="1:21" ht="12.75" customHeight="1" x14ac:dyDescent="0.2">
      <c r="A57" s="2"/>
      <c r="B57" s="31"/>
      <c r="C57" s="32" t="str">
        <f>IFERROR((IF(B57="","",IF($F$6="","Informar UF / Tabela / Prazo de Pagamento",IF($F$9="","Informar UF / Tabela / Prazo de Pagamento",IF($C$9="","Informar UF / Tabela / Prazo de Pagamento",VLOOKUP(B57,'Tabela 130 '!$A$5:$T$1001,2,FALSE)))))),"REF. NÃO CADASTRADA NA TABELA")</f>
        <v/>
      </c>
      <c r="D57" s="33" t="str">
        <f>IF('FOLHA DE PEDIDO '!B57="","",IF(C57="REF. NÃO CADASTRADA NA TABELA","",VLOOKUP(B57,'Tabela 130 '!$A$5:$AI$801,3,FALSE)))</f>
        <v/>
      </c>
      <c r="E57" s="34"/>
      <c r="F57" s="34"/>
      <c r="G57" s="35" t="str">
        <f>IFERROR(IF(C57="REF. NÃO CADASTRADA NA TABELA","",IF($C$9="","",IF($F$9="","",IF(B57="","",IF($C$9=119,VLOOKUP(B57,'Tabela 130 '!$A$5:$T$2711,MATCH($F$9,'Tabela 130 '!$A$5:$T$5,0),FALSE),IF($C$9=553,VLOOKUP(B57,#REF!,MATCH($F$9,#REF!,0),FALSE),IF($C$9=552,VLOOKUP(B57,#REF!,MATCH($F$9,#REF!,0),FALSE),IF($C$9=551,VLOOKUP(B57,#REF!,MATCH($F$9,#REF!,0),FALSE))))))))),"REF. NÃO CADASTRADA NA TABELA")</f>
        <v/>
      </c>
      <c r="H57" s="36"/>
      <c r="I57" s="37" t="str">
        <f t="shared" si="0"/>
        <v/>
      </c>
      <c r="J57" s="33" t="str">
        <f t="shared" si="1"/>
        <v/>
      </c>
      <c r="K57" s="38" t="str">
        <f>IF($F$6="","",IF(B57="","",IF(C57="REF. NÃO CADASTRADA NA TABELA","",IFERROR(VLOOKUP(B57,#REF!,VLOOKUP($F$6,'BASE CONTÁBIL'!N:O,2,FALSE),FALSE),0))))</f>
        <v/>
      </c>
      <c r="L57" s="35" t="str">
        <f t="shared" si="2"/>
        <v/>
      </c>
      <c r="M57" s="35" t="str">
        <f t="shared" si="3"/>
        <v/>
      </c>
      <c r="N57" s="35" t="str">
        <f t="shared" si="4"/>
        <v/>
      </c>
      <c r="O57" s="35" t="str">
        <f t="shared" si="5"/>
        <v/>
      </c>
      <c r="P57" s="33" t="e">
        <f t="shared" si="6"/>
        <v>#REF!</v>
      </c>
      <c r="Q57" s="2"/>
      <c r="R57" s="2"/>
      <c r="S57" s="2"/>
      <c r="T57" s="2"/>
      <c r="U57" s="2"/>
    </row>
    <row r="58" spans="1:21" ht="12.75" customHeight="1" x14ac:dyDescent="0.2">
      <c r="A58" s="2"/>
      <c r="B58" s="31"/>
      <c r="C58" s="32" t="str">
        <f>IFERROR((IF(B58="","",IF($F$6="","Informar UF / Tabela / Prazo de Pagamento",IF($F$9="","Informar UF / Tabela / Prazo de Pagamento",IF($C$9="","Informar UF / Tabela / Prazo de Pagamento",VLOOKUP(B58,'Tabela 130 '!$A$5:$T$1001,2,FALSE)))))),"REF. NÃO CADASTRADA NA TABELA")</f>
        <v/>
      </c>
      <c r="D58" s="33" t="str">
        <f>IF('FOLHA DE PEDIDO '!B58="","",IF(C58="REF. NÃO CADASTRADA NA TABELA","",VLOOKUP(B58,'Tabela 130 '!$A$5:$AI$801,3,FALSE)))</f>
        <v/>
      </c>
      <c r="E58" s="34"/>
      <c r="F58" s="34"/>
      <c r="G58" s="35" t="str">
        <f>IFERROR(IF(C58="REF. NÃO CADASTRADA NA TABELA","",IF($C$9="","",IF($F$9="","",IF(B58="","",IF($C$9=119,VLOOKUP(B58,'Tabela 130 '!$A$5:$T$2711,MATCH($F$9,'Tabela 130 '!$A$5:$T$5,0),FALSE),IF($C$9=553,VLOOKUP(B58,#REF!,MATCH($F$9,#REF!,0),FALSE),IF($C$9=552,VLOOKUP(B58,#REF!,MATCH($F$9,#REF!,0),FALSE),IF($C$9=551,VLOOKUP(B58,#REF!,MATCH($F$9,#REF!,0),FALSE))))))))),"REF. NÃO CADASTRADA NA TABELA")</f>
        <v/>
      </c>
      <c r="H58" s="36"/>
      <c r="I58" s="37" t="str">
        <f t="shared" si="0"/>
        <v/>
      </c>
      <c r="J58" s="33" t="str">
        <f t="shared" si="1"/>
        <v/>
      </c>
      <c r="K58" s="38" t="str">
        <f>IF($F$6="","",IF(B58="","",IF(C58="REF. NÃO CADASTRADA NA TABELA","",IFERROR(VLOOKUP(B58,#REF!,VLOOKUP($F$6,'BASE CONTÁBIL'!N:O,2,FALSE),FALSE),0))))</f>
        <v/>
      </c>
      <c r="L58" s="35" t="str">
        <f t="shared" si="2"/>
        <v/>
      </c>
      <c r="M58" s="35" t="str">
        <f t="shared" si="3"/>
        <v/>
      </c>
      <c r="N58" s="35" t="str">
        <f t="shared" si="4"/>
        <v/>
      </c>
      <c r="O58" s="35" t="str">
        <f t="shared" si="5"/>
        <v/>
      </c>
      <c r="P58" s="33" t="e">
        <f t="shared" si="6"/>
        <v>#REF!</v>
      </c>
      <c r="Q58" s="2"/>
      <c r="R58" s="2"/>
      <c r="S58" s="2"/>
      <c r="T58" s="2"/>
      <c r="U58" s="2"/>
    </row>
    <row r="59" spans="1:21" ht="12.75" customHeight="1" x14ac:dyDescent="0.2">
      <c r="A59" s="2"/>
      <c r="B59" s="31"/>
      <c r="C59" s="32" t="str">
        <f>IFERROR((IF(B59="","",IF($F$6="","Informar UF / Tabela / Prazo de Pagamento",IF($F$9="","Informar UF / Tabela / Prazo de Pagamento",IF($C$9="","Informar UF / Tabela / Prazo de Pagamento",VLOOKUP(B59,'Tabela 130 '!$A$5:$T$1001,2,FALSE)))))),"REF. NÃO CADASTRADA NA TABELA")</f>
        <v/>
      </c>
      <c r="D59" s="33" t="str">
        <f>IF('FOLHA DE PEDIDO '!B59="","",IF(C59="REF. NÃO CADASTRADA NA TABELA","",VLOOKUP(B59,'Tabela 130 '!$A$5:$AI$801,3,FALSE)))</f>
        <v/>
      </c>
      <c r="E59" s="34"/>
      <c r="F59" s="34"/>
      <c r="G59" s="35" t="str">
        <f>IFERROR(IF(C59="REF. NÃO CADASTRADA NA TABELA","",IF($C$9="","",IF($F$9="","",IF(B59="","",IF($C$9=119,VLOOKUP(B59,'Tabela 130 '!$A$5:$T$2711,MATCH($F$9,'Tabela 130 '!$A$5:$T$5,0),FALSE),IF($C$9=553,VLOOKUP(B59,#REF!,MATCH($F$9,#REF!,0),FALSE),IF($C$9=552,VLOOKUP(B59,#REF!,MATCH($F$9,#REF!,0),FALSE),IF($C$9=551,VLOOKUP(B59,#REF!,MATCH($F$9,#REF!,0),FALSE))))))))),"REF. NÃO CADASTRADA NA TABELA")</f>
        <v/>
      </c>
      <c r="H59" s="36"/>
      <c r="I59" s="37" t="str">
        <f t="shared" si="0"/>
        <v/>
      </c>
      <c r="J59" s="33" t="str">
        <f t="shared" si="1"/>
        <v/>
      </c>
      <c r="K59" s="38" t="str">
        <f>IF($F$6="","",IF(B59="","",IF(C59="REF. NÃO CADASTRADA NA TABELA","",IFERROR(VLOOKUP(B59,#REF!,VLOOKUP($F$6,'BASE CONTÁBIL'!N:O,2,FALSE),FALSE),0))))</f>
        <v/>
      </c>
      <c r="L59" s="35" t="str">
        <f t="shared" si="2"/>
        <v/>
      </c>
      <c r="M59" s="35" t="str">
        <f t="shared" si="3"/>
        <v/>
      </c>
      <c r="N59" s="35" t="str">
        <f t="shared" si="4"/>
        <v/>
      </c>
      <c r="O59" s="35" t="str">
        <f t="shared" si="5"/>
        <v/>
      </c>
      <c r="P59" s="33" t="e">
        <f t="shared" si="6"/>
        <v>#REF!</v>
      </c>
      <c r="Q59" s="2"/>
      <c r="R59" s="2"/>
      <c r="S59" s="2"/>
      <c r="T59" s="2"/>
      <c r="U59" s="2"/>
    </row>
    <row r="60" spans="1:21" ht="12.75" customHeight="1" x14ac:dyDescent="0.2">
      <c r="A60" s="2"/>
      <c r="B60" s="31"/>
      <c r="C60" s="32" t="str">
        <f>IFERROR((IF(B60="","",IF($F$6="","Informar UF / Tabela / Prazo de Pagamento",IF($F$9="","Informar UF / Tabela / Prazo de Pagamento",IF($C$9="","Informar UF / Tabela / Prazo de Pagamento",VLOOKUP(B60,'Tabela 130 '!$A$5:$T$1001,2,FALSE)))))),"REF. NÃO CADASTRADA NA TABELA")</f>
        <v/>
      </c>
      <c r="D60" s="33" t="str">
        <f>IF('FOLHA DE PEDIDO '!B60="","",IF(C60="REF. NÃO CADASTRADA NA TABELA","",VLOOKUP(B60,'Tabela 130 '!$A$5:$AI$801,3,FALSE)))</f>
        <v/>
      </c>
      <c r="E60" s="34"/>
      <c r="F60" s="34"/>
      <c r="G60" s="35" t="str">
        <f>IFERROR(IF(C60="REF. NÃO CADASTRADA NA TABELA","",IF($C$9="","",IF($F$9="","",IF(B60="","",IF($C$9=119,VLOOKUP(B60,'Tabela 130 '!$A$5:$T$2711,MATCH($F$9,'Tabela 130 '!$A$5:$T$5,0),FALSE),IF($C$9=553,VLOOKUP(B60,#REF!,MATCH($F$9,#REF!,0),FALSE),IF($C$9=552,VLOOKUP(B60,#REF!,MATCH($F$9,#REF!,0),FALSE),IF($C$9=551,VLOOKUP(B60,#REF!,MATCH($F$9,#REF!,0),FALSE))))))))),"REF. NÃO CADASTRADA NA TABELA")</f>
        <v/>
      </c>
      <c r="H60" s="36"/>
      <c r="I60" s="37" t="str">
        <f t="shared" si="0"/>
        <v/>
      </c>
      <c r="J60" s="33" t="str">
        <f t="shared" si="1"/>
        <v/>
      </c>
      <c r="K60" s="38" t="str">
        <f>IF($F$6="","",IF(B60="","",IF(C60="REF. NÃO CADASTRADA NA TABELA","",IFERROR(VLOOKUP(B60,#REF!,VLOOKUP($F$6,'BASE CONTÁBIL'!N:O,2,FALSE),FALSE),0))))</f>
        <v/>
      </c>
      <c r="L60" s="35" t="str">
        <f t="shared" si="2"/>
        <v/>
      </c>
      <c r="M60" s="35" t="str">
        <f t="shared" si="3"/>
        <v/>
      </c>
      <c r="N60" s="35" t="str">
        <f t="shared" si="4"/>
        <v/>
      </c>
      <c r="O60" s="35" t="str">
        <f t="shared" si="5"/>
        <v/>
      </c>
      <c r="P60" s="33" t="e">
        <f t="shared" si="6"/>
        <v>#REF!</v>
      </c>
      <c r="Q60" s="2"/>
      <c r="R60" s="2"/>
      <c r="S60" s="2"/>
      <c r="T60" s="2"/>
      <c r="U60" s="2"/>
    </row>
    <row r="61" spans="1:21" ht="12.75" customHeight="1" x14ac:dyDescent="0.2">
      <c r="A61" s="2"/>
      <c r="B61" s="31"/>
      <c r="C61" s="32" t="str">
        <f>IFERROR((IF(B61="","",IF($F$6="","Informar UF / Tabela / Prazo de Pagamento",IF($F$9="","Informar UF / Tabela / Prazo de Pagamento",IF($C$9="","Informar UF / Tabela / Prazo de Pagamento",VLOOKUP(B61,'Tabela 130 '!$A$5:$T$1001,2,FALSE)))))),"REF. NÃO CADASTRADA NA TABELA")</f>
        <v/>
      </c>
      <c r="D61" s="33" t="str">
        <f>IF('FOLHA DE PEDIDO '!B61="","",IF(C61="REF. NÃO CADASTRADA NA TABELA","",VLOOKUP(B61,'Tabela 130 '!$A$5:$AI$801,3,FALSE)))</f>
        <v/>
      </c>
      <c r="E61" s="34"/>
      <c r="F61" s="34"/>
      <c r="G61" s="35" t="str">
        <f>IFERROR(IF(C61="REF. NÃO CADASTRADA NA TABELA","",IF($C$9="","",IF($F$9="","",IF(B61="","",IF($C$9=119,VLOOKUP(B61,'Tabela 130 '!$A$5:$T$2711,MATCH($F$9,'Tabela 130 '!$A$5:$T$5,0),FALSE),IF($C$9=553,VLOOKUP(B61,#REF!,MATCH($F$9,#REF!,0),FALSE),IF($C$9=552,VLOOKUP(B61,#REF!,MATCH($F$9,#REF!,0),FALSE),IF($C$9=551,VLOOKUP(B61,#REF!,MATCH($F$9,#REF!,0),FALSE))))))))),"REF. NÃO CADASTRADA NA TABELA")</f>
        <v/>
      </c>
      <c r="H61" s="36"/>
      <c r="I61" s="37" t="str">
        <f t="shared" si="0"/>
        <v/>
      </c>
      <c r="J61" s="33" t="str">
        <f t="shared" si="1"/>
        <v/>
      </c>
      <c r="K61" s="38" t="str">
        <f>IF($F$6="","",IF(B61="","",IF(C61="REF. NÃO CADASTRADA NA TABELA","",IFERROR(VLOOKUP(B61,#REF!,VLOOKUP($F$6,'BASE CONTÁBIL'!N:O,2,FALSE),FALSE),0))))</f>
        <v/>
      </c>
      <c r="L61" s="35" t="str">
        <f t="shared" si="2"/>
        <v/>
      </c>
      <c r="M61" s="35" t="str">
        <f t="shared" si="3"/>
        <v/>
      </c>
      <c r="N61" s="35" t="str">
        <f t="shared" si="4"/>
        <v/>
      </c>
      <c r="O61" s="35" t="str">
        <f t="shared" si="5"/>
        <v/>
      </c>
      <c r="P61" s="33" t="e">
        <f t="shared" si="6"/>
        <v>#REF!</v>
      </c>
      <c r="Q61" s="2"/>
      <c r="R61" s="2"/>
      <c r="S61" s="2"/>
      <c r="T61" s="2"/>
      <c r="U61" s="2"/>
    </row>
    <row r="62" spans="1:21" ht="12.75" customHeight="1" x14ac:dyDescent="0.2">
      <c r="A62" s="2"/>
      <c r="B62" s="31"/>
      <c r="C62" s="32" t="str">
        <f>IFERROR((IF(B62="","",IF($F$6="","Informar UF / Tabela / Prazo de Pagamento",IF($F$9="","Informar UF / Tabela / Prazo de Pagamento",IF($C$9="","Informar UF / Tabela / Prazo de Pagamento",VLOOKUP(B62,'Tabela 130 '!$A$5:$T$1001,2,FALSE)))))),"REF. NÃO CADASTRADA NA TABELA")</f>
        <v/>
      </c>
      <c r="D62" s="33" t="str">
        <f>IF('FOLHA DE PEDIDO '!B62="","",IF(C62="REF. NÃO CADASTRADA NA TABELA","",VLOOKUP(B62,'Tabela 130 '!$A$5:$AI$801,3,FALSE)))</f>
        <v/>
      </c>
      <c r="E62" s="34"/>
      <c r="F62" s="34"/>
      <c r="G62" s="35" t="str">
        <f>IFERROR(IF(C62="REF. NÃO CADASTRADA NA TABELA","",IF($C$9="","",IF($F$9="","",IF(B62="","",IF($C$9=119,VLOOKUP(B62,'Tabela 130 '!$A$5:$T$2711,MATCH($F$9,'Tabela 130 '!$A$5:$T$5,0),FALSE),IF($C$9=553,VLOOKUP(B62,#REF!,MATCH($F$9,#REF!,0),FALSE),IF($C$9=552,VLOOKUP(B62,#REF!,MATCH($F$9,#REF!,0),FALSE),IF($C$9=551,VLOOKUP(B62,#REF!,MATCH($F$9,#REF!,0),FALSE))))))))),"REF. NÃO CADASTRADA NA TABELA")</f>
        <v/>
      </c>
      <c r="H62" s="36"/>
      <c r="I62" s="37" t="str">
        <f t="shared" si="0"/>
        <v/>
      </c>
      <c r="J62" s="33" t="str">
        <f t="shared" si="1"/>
        <v/>
      </c>
      <c r="K62" s="38" t="str">
        <f>IF($F$6="","",IF(B62="","",IF(C62="REF. NÃO CADASTRADA NA TABELA","",IFERROR(VLOOKUP(B62,#REF!,VLOOKUP($F$6,'BASE CONTÁBIL'!N:O,2,FALSE),FALSE),0))))</f>
        <v/>
      </c>
      <c r="L62" s="35" t="str">
        <f t="shared" si="2"/>
        <v/>
      </c>
      <c r="M62" s="35" t="str">
        <f t="shared" si="3"/>
        <v/>
      </c>
      <c r="N62" s="35" t="str">
        <f t="shared" si="4"/>
        <v/>
      </c>
      <c r="O62" s="35" t="str">
        <f t="shared" si="5"/>
        <v/>
      </c>
      <c r="P62" s="33" t="e">
        <f t="shared" si="6"/>
        <v>#REF!</v>
      </c>
      <c r="Q62" s="2"/>
      <c r="R62" s="2"/>
      <c r="S62" s="2"/>
      <c r="T62" s="2"/>
      <c r="U62" s="2"/>
    </row>
    <row r="63" spans="1:21" ht="12.75" customHeight="1" x14ac:dyDescent="0.2">
      <c r="A63" s="2"/>
      <c r="B63" s="31"/>
      <c r="C63" s="32" t="str">
        <f>IFERROR((IF(B63="","",IF($F$6="","Informar UF / Tabela / Prazo de Pagamento",IF($F$9="","Informar UF / Tabela / Prazo de Pagamento",IF($C$9="","Informar UF / Tabela / Prazo de Pagamento",VLOOKUP(B63,'Tabela 130 '!$A$5:$T$1001,2,FALSE)))))),"REF. NÃO CADASTRADA NA TABELA")</f>
        <v/>
      </c>
      <c r="D63" s="33" t="str">
        <f>IF('FOLHA DE PEDIDO '!B63="","",IF(C63="REF. NÃO CADASTRADA NA TABELA","",VLOOKUP(B63,'Tabela 130 '!$A$5:$AI$801,3,FALSE)))</f>
        <v/>
      </c>
      <c r="E63" s="34"/>
      <c r="F63" s="34"/>
      <c r="G63" s="35" t="str">
        <f>IFERROR(IF(C63="REF. NÃO CADASTRADA NA TABELA","",IF($C$9="","",IF($F$9="","",IF(B63="","",IF($C$9=119,VLOOKUP(B63,'Tabela 130 '!$A$5:$T$2711,MATCH($F$9,'Tabela 130 '!$A$5:$T$5,0),FALSE),IF($C$9=553,VLOOKUP(B63,#REF!,MATCH($F$9,#REF!,0),FALSE),IF($C$9=552,VLOOKUP(B63,#REF!,MATCH($F$9,#REF!,0),FALSE),IF($C$9=551,VLOOKUP(B63,#REF!,MATCH($F$9,#REF!,0),FALSE))))))))),"REF. NÃO CADASTRADA NA TABELA")</f>
        <v/>
      </c>
      <c r="H63" s="36"/>
      <c r="I63" s="37" t="str">
        <f t="shared" si="0"/>
        <v/>
      </c>
      <c r="J63" s="33" t="str">
        <f t="shared" si="1"/>
        <v/>
      </c>
      <c r="K63" s="38" t="str">
        <f>IF($F$6="","",IF(B63="","",IF(C63="REF. NÃO CADASTRADA NA TABELA","",IFERROR(VLOOKUP(B63,#REF!,VLOOKUP($F$6,'BASE CONTÁBIL'!N:O,2,FALSE),FALSE),0))))</f>
        <v/>
      </c>
      <c r="L63" s="35" t="str">
        <f t="shared" si="2"/>
        <v/>
      </c>
      <c r="M63" s="35" t="str">
        <f t="shared" si="3"/>
        <v/>
      </c>
      <c r="N63" s="35" t="str">
        <f t="shared" si="4"/>
        <v/>
      </c>
      <c r="O63" s="35" t="str">
        <f t="shared" si="5"/>
        <v/>
      </c>
      <c r="P63" s="33" t="e">
        <f t="shared" si="6"/>
        <v>#REF!</v>
      </c>
      <c r="Q63" s="2"/>
      <c r="R63" s="2"/>
      <c r="S63" s="2"/>
      <c r="T63" s="2"/>
      <c r="U63" s="2"/>
    </row>
    <row r="64" spans="1:21" ht="12.75" customHeight="1" x14ac:dyDescent="0.2">
      <c r="A64" s="2"/>
      <c r="B64" s="31"/>
      <c r="C64" s="32" t="str">
        <f>IFERROR((IF(B64="","",IF($F$6="","Informar UF / Tabela / Prazo de Pagamento",IF($F$9="","Informar UF / Tabela / Prazo de Pagamento",IF($C$9="","Informar UF / Tabela / Prazo de Pagamento",VLOOKUP(B64,'Tabela 130 '!$A$5:$T$1001,2,FALSE)))))),"REF. NÃO CADASTRADA NA TABELA")</f>
        <v/>
      </c>
      <c r="D64" s="33" t="str">
        <f>IF('FOLHA DE PEDIDO '!B64="","",IF(C64="REF. NÃO CADASTRADA NA TABELA","",VLOOKUP(B64,'Tabela 130 '!$A$5:$AI$801,3,FALSE)))</f>
        <v/>
      </c>
      <c r="E64" s="34"/>
      <c r="F64" s="34"/>
      <c r="G64" s="35" t="str">
        <f>IFERROR(IF(C64="REF. NÃO CADASTRADA NA TABELA","",IF($C$9="","",IF($F$9="","",IF(B64="","",IF($C$9=119,VLOOKUP(B64,'Tabela 130 '!$A$5:$T$2711,MATCH($F$9,'Tabela 130 '!$A$5:$T$5,0),FALSE),IF($C$9=553,VLOOKUP(B64,#REF!,MATCH($F$9,#REF!,0),FALSE),IF($C$9=552,VLOOKUP(B64,#REF!,MATCH($F$9,#REF!,0),FALSE),IF($C$9=551,VLOOKUP(B64,#REF!,MATCH($F$9,#REF!,0),FALSE))))))))),"REF. NÃO CADASTRADA NA TABELA")</f>
        <v/>
      </c>
      <c r="H64" s="36"/>
      <c r="I64" s="37" t="str">
        <f t="shared" si="0"/>
        <v/>
      </c>
      <c r="J64" s="33" t="str">
        <f t="shared" si="1"/>
        <v/>
      </c>
      <c r="K64" s="38" t="str">
        <f>IF($F$6="","",IF(B64="","",IF(C64="REF. NÃO CADASTRADA NA TABELA","",IFERROR(VLOOKUP(B64,#REF!,VLOOKUP($F$6,'BASE CONTÁBIL'!N:O,2,FALSE),FALSE),0))))</f>
        <v/>
      </c>
      <c r="L64" s="35" t="str">
        <f t="shared" si="2"/>
        <v/>
      </c>
      <c r="M64" s="35" t="str">
        <f t="shared" si="3"/>
        <v/>
      </c>
      <c r="N64" s="35" t="str">
        <f t="shared" si="4"/>
        <v/>
      </c>
      <c r="O64" s="35" t="str">
        <f t="shared" si="5"/>
        <v/>
      </c>
      <c r="P64" s="33" t="e">
        <f t="shared" si="6"/>
        <v>#REF!</v>
      </c>
      <c r="Q64" s="2"/>
      <c r="R64" s="2"/>
      <c r="S64" s="2"/>
      <c r="T64" s="2"/>
      <c r="U64" s="2"/>
    </row>
    <row r="65" spans="1:21" ht="12.75" customHeight="1" x14ac:dyDescent="0.2">
      <c r="A65" s="2"/>
      <c r="B65" s="31"/>
      <c r="C65" s="32" t="str">
        <f>IFERROR((IF(B65="","",IF($F$6="","Informar UF / Tabela / Prazo de Pagamento",IF($F$9="","Informar UF / Tabela / Prazo de Pagamento",IF($C$9="","Informar UF / Tabela / Prazo de Pagamento",VLOOKUP(B65,'Tabela 130 '!$A$5:$T$1001,2,FALSE)))))),"REF. NÃO CADASTRADA NA TABELA")</f>
        <v/>
      </c>
      <c r="D65" s="33" t="str">
        <f>IF('FOLHA DE PEDIDO '!B65="","",IF(C65="REF. NÃO CADASTRADA NA TABELA","",VLOOKUP(B65,'Tabela 130 '!$A$5:$AI$801,3,FALSE)))</f>
        <v/>
      </c>
      <c r="E65" s="34"/>
      <c r="F65" s="34"/>
      <c r="G65" s="35" t="str">
        <f>IFERROR(IF(C65="REF. NÃO CADASTRADA NA TABELA","",IF($C$9="","",IF($F$9="","",IF(B65="","",IF($C$9=119,VLOOKUP(B65,'Tabela 130 '!$A$5:$T$2711,MATCH($F$9,'Tabela 130 '!$A$5:$T$5,0),FALSE),IF($C$9=553,VLOOKUP(B65,#REF!,MATCH($F$9,#REF!,0),FALSE),IF($C$9=552,VLOOKUP(B65,#REF!,MATCH($F$9,#REF!,0),FALSE),IF($C$9=551,VLOOKUP(B65,#REF!,MATCH($F$9,#REF!,0),FALSE))))))))),"REF. NÃO CADASTRADA NA TABELA")</f>
        <v/>
      </c>
      <c r="H65" s="36"/>
      <c r="I65" s="37" t="str">
        <f t="shared" si="0"/>
        <v/>
      </c>
      <c r="J65" s="33" t="str">
        <f t="shared" si="1"/>
        <v/>
      </c>
      <c r="K65" s="38" t="str">
        <f>IF($F$6="","",IF(B65="","",IF(C65="REF. NÃO CADASTRADA NA TABELA","",IFERROR(VLOOKUP(B65,#REF!,VLOOKUP($F$6,'BASE CONTÁBIL'!N:O,2,FALSE),FALSE),0))))</f>
        <v/>
      </c>
      <c r="L65" s="35" t="str">
        <f t="shared" si="2"/>
        <v/>
      </c>
      <c r="M65" s="35" t="str">
        <f t="shared" si="3"/>
        <v/>
      </c>
      <c r="N65" s="35" t="str">
        <f t="shared" si="4"/>
        <v/>
      </c>
      <c r="O65" s="35" t="str">
        <f t="shared" si="5"/>
        <v/>
      </c>
      <c r="P65" s="33" t="e">
        <f t="shared" si="6"/>
        <v>#REF!</v>
      </c>
      <c r="Q65" s="2"/>
      <c r="R65" s="2"/>
      <c r="S65" s="2"/>
      <c r="T65" s="2"/>
      <c r="U65" s="2"/>
    </row>
    <row r="66" spans="1:21" ht="12.75" customHeight="1" x14ac:dyDescent="0.2">
      <c r="A66" s="2"/>
      <c r="B66" s="31"/>
      <c r="C66" s="32" t="str">
        <f>IFERROR((IF(B66="","",IF($F$6="","Informar UF / Tabela / Prazo de Pagamento",IF($F$9="","Informar UF / Tabela / Prazo de Pagamento",IF($C$9="","Informar UF / Tabela / Prazo de Pagamento",VLOOKUP(B66,'Tabela 130 '!$A$5:$T$1001,2,FALSE)))))),"REF. NÃO CADASTRADA NA TABELA")</f>
        <v/>
      </c>
      <c r="D66" s="33" t="str">
        <f>IF('FOLHA DE PEDIDO '!B66="","",IF(C66="REF. NÃO CADASTRADA NA TABELA","",VLOOKUP(B66,'Tabela 130 '!$A$5:$AI$801,3,FALSE)))</f>
        <v/>
      </c>
      <c r="E66" s="34"/>
      <c r="F66" s="34"/>
      <c r="G66" s="35" t="str">
        <f>IFERROR(IF(C66="REF. NÃO CADASTRADA NA TABELA","",IF($C$9="","",IF($F$9="","",IF(B66="","",IF($C$9=119,VLOOKUP(B66,'Tabela 130 '!$A$5:$T$2711,MATCH($F$9,'Tabela 130 '!$A$5:$T$5,0),FALSE),IF($C$9=553,VLOOKUP(B66,#REF!,MATCH($F$9,#REF!,0),FALSE),IF($C$9=552,VLOOKUP(B66,#REF!,MATCH($F$9,#REF!,0),FALSE),IF($C$9=551,VLOOKUP(B66,#REF!,MATCH($F$9,#REF!,0),FALSE))))))))),"REF. NÃO CADASTRADA NA TABELA")</f>
        <v/>
      </c>
      <c r="H66" s="36"/>
      <c r="I66" s="37" t="str">
        <f t="shared" si="0"/>
        <v/>
      </c>
      <c r="J66" s="33" t="str">
        <f t="shared" si="1"/>
        <v/>
      </c>
      <c r="K66" s="38" t="str">
        <f>IF($F$6="","",IF(B66="","",IF(C66="REF. NÃO CADASTRADA NA TABELA","",IFERROR(VLOOKUP(B66,#REF!,VLOOKUP($F$6,'BASE CONTÁBIL'!N:O,2,FALSE),FALSE),0))))</f>
        <v/>
      </c>
      <c r="L66" s="35" t="str">
        <f t="shared" si="2"/>
        <v/>
      </c>
      <c r="M66" s="35" t="str">
        <f t="shared" si="3"/>
        <v/>
      </c>
      <c r="N66" s="35" t="str">
        <f t="shared" si="4"/>
        <v/>
      </c>
      <c r="O66" s="35" t="str">
        <f t="shared" si="5"/>
        <v/>
      </c>
      <c r="P66" s="33" t="e">
        <f t="shared" si="6"/>
        <v>#REF!</v>
      </c>
      <c r="Q66" s="2"/>
      <c r="R66" s="2"/>
      <c r="S66" s="2"/>
      <c r="T66" s="2"/>
      <c r="U66" s="2"/>
    </row>
    <row r="67" spans="1:21" ht="12.75" customHeight="1" x14ac:dyDescent="0.2">
      <c r="A67" s="2"/>
      <c r="B67" s="31"/>
      <c r="C67" s="32" t="str">
        <f>IFERROR((IF(B67="","",IF($F$6="","Informar UF / Tabela / Prazo de Pagamento",IF($F$9="","Informar UF / Tabela / Prazo de Pagamento",IF($C$9="","Informar UF / Tabela / Prazo de Pagamento",VLOOKUP(B67,'Tabela 130 '!$A$5:$T$1001,2,FALSE)))))),"REF. NÃO CADASTRADA NA TABELA")</f>
        <v/>
      </c>
      <c r="D67" s="33" t="str">
        <f>IF('FOLHA DE PEDIDO '!B67="","",IF(C67="REF. NÃO CADASTRADA NA TABELA","",VLOOKUP(B67,'Tabela 130 '!$A$5:$AI$801,3,FALSE)))</f>
        <v/>
      </c>
      <c r="E67" s="34"/>
      <c r="F67" s="34"/>
      <c r="G67" s="35" t="str">
        <f>IFERROR(IF(C67="REF. NÃO CADASTRADA NA TABELA","",IF($C$9="","",IF($F$9="","",IF(B67="","",IF($C$9=119,VLOOKUP(B67,'Tabela 130 '!$A$5:$T$2711,MATCH($F$9,'Tabela 130 '!$A$5:$T$5,0),FALSE),IF($C$9=553,VLOOKUP(B67,#REF!,MATCH($F$9,#REF!,0),FALSE),IF($C$9=552,VLOOKUP(B67,#REF!,MATCH($F$9,#REF!,0),FALSE),IF($C$9=551,VLOOKUP(B67,#REF!,MATCH($F$9,#REF!,0),FALSE))))))))),"REF. NÃO CADASTRADA NA TABELA")</f>
        <v/>
      </c>
      <c r="H67" s="36"/>
      <c r="I67" s="37" t="str">
        <f t="shared" si="0"/>
        <v/>
      </c>
      <c r="J67" s="33" t="str">
        <f t="shared" si="1"/>
        <v/>
      </c>
      <c r="K67" s="38" t="str">
        <f>IF($F$6="","",IF(B67="","",IF(C67="REF. NÃO CADASTRADA NA TABELA","",IFERROR(VLOOKUP(B67,#REF!,VLOOKUP($F$6,'BASE CONTÁBIL'!N:O,2,FALSE),FALSE),0))))</f>
        <v/>
      </c>
      <c r="L67" s="35" t="str">
        <f t="shared" si="2"/>
        <v/>
      </c>
      <c r="M67" s="35" t="str">
        <f t="shared" si="3"/>
        <v/>
      </c>
      <c r="N67" s="35" t="str">
        <f t="shared" si="4"/>
        <v/>
      </c>
      <c r="O67" s="35" t="str">
        <f t="shared" si="5"/>
        <v/>
      </c>
      <c r="P67" s="33" t="e">
        <f t="shared" si="6"/>
        <v>#REF!</v>
      </c>
      <c r="Q67" s="2"/>
      <c r="R67" s="2"/>
      <c r="S67" s="2"/>
      <c r="T67" s="2"/>
      <c r="U67" s="2"/>
    </row>
    <row r="68" spans="1:21" ht="12.75" customHeight="1" x14ac:dyDescent="0.2">
      <c r="A68" s="2"/>
      <c r="B68" s="31"/>
      <c r="C68" s="32" t="str">
        <f>IFERROR((IF(B68="","",IF($F$6="","Informar UF / Tabela / Prazo de Pagamento",IF($F$9="","Informar UF / Tabela / Prazo de Pagamento",IF($C$9="","Informar UF / Tabela / Prazo de Pagamento",VLOOKUP(B68,'Tabela 130 '!$A$5:$T$1001,2,FALSE)))))),"REF. NÃO CADASTRADA NA TABELA")</f>
        <v/>
      </c>
      <c r="D68" s="33" t="str">
        <f>IF('FOLHA DE PEDIDO '!B68="","",IF(C68="REF. NÃO CADASTRADA NA TABELA","",VLOOKUP(B68,'Tabela 130 '!$A$5:$AI$801,3,FALSE)))</f>
        <v/>
      </c>
      <c r="E68" s="34"/>
      <c r="F68" s="34"/>
      <c r="G68" s="35" t="str">
        <f>IFERROR(IF(C68="REF. NÃO CADASTRADA NA TABELA","",IF($C$9="","",IF($F$9="","",IF(B68="","",IF($C$9=119,VLOOKUP(B68,'Tabela 130 '!$A$5:$T$2711,MATCH($F$9,'Tabela 130 '!$A$5:$T$5,0),FALSE),IF($C$9=553,VLOOKUP(B68,#REF!,MATCH($F$9,#REF!,0),FALSE),IF($C$9=552,VLOOKUP(B68,#REF!,MATCH($F$9,#REF!,0),FALSE),IF($C$9=551,VLOOKUP(B68,#REF!,MATCH($F$9,#REF!,0),FALSE))))))))),"REF. NÃO CADASTRADA NA TABELA")</f>
        <v/>
      </c>
      <c r="H68" s="36"/>
      <c r="I68" s="37" t="str">
        <f t="shared" si="0"/>
        <v/>
      </c>
      <c r="J68" s="33" t="str">
        <f t="shared" si="1"/>
        <v/>
      </c>
      <c r="K68" s="38" t="str">
        <f>IF($F$6="","",IF(B68="","",IF(C68="REF. NÃO CADASTRADA NA TABELA","",IFERROR(VLOOKUP(B68,#REF!,VLOOKUP($F$6,'BASE CONTÁBIL'!N:O,2,FALSE),FALSE),0))))</f>
        <v/>
      </c>
      <c r="L68" s="35" t="str">
        <f t="shared" si="2"/>
        <v/>
      </c>
      <c r="M68" s="35" t="str">
        <f t="shared" si="3"/>
        <v/>
      </c>
      <c r="N68" s="35" t="str">
        <f t="shared" si="4"/>
        <v/>
      </c>
      <c r="O68" s="35" t="str">
        <f t="shared" si="5"/>
        <v/>
      </c>
      <c r="P68" s="33" t="e">
        <f t="shared" si="6"/>
        <v>#REF!</v>
      </c>
      <c r="Q68" s="2"/>
      <c r="R68" s="2"/>
      <c r="S68" s="2"/>
      <c r="T68" s="2"/>
      <c r="U68" s="2"/>
    </row>
    <row r="69" spans="1:21" ht="12.75" customHeight="1" x14ac:dyDescent="0.2">
      <c r="A69" s="2"/>
      <c r="B69" s="31"/>
      <c r="C69" s="32" t="str">
        <f>IFERROR((IF(B69="","",IF($F$6="","Informar UF / Tabela / Prazo de Pagamento",IF($F$9="","Informar UF / Tabela / Prazo de Pagamento",IF($C$9="","Informar UF / Tabela / Prazo de Pagamento",VLOOKUP(B69,'Tabela 130 '!$A$5:$T$1001,2,FALSE)))))),"REF. NÃO CADASTRADA NA TABELA")</f>
        <v/>
      </c>
      <c r="D69" s="33" t="str">
        <f>IF('FOLHA DE PEDIDO '!B69="","",IF(C69="REF. NÃO CADASTRADA NA TABELA","",VLOOKUP(B69,'Tabela 130 '!$A$5:$AI$801,3,FALSE)))</f>
        <v/>
      </c>
      <c r="E69" s="34"/>
      <c r="F69" s="34"/>
      <c r="G69" s="35" t="str">
        <f>IFERROR(IF(C69="REF. NÃO CADASTRADA NA TABELA","",IF($C$9="","",IF($F$9="","",IF(B69="","",IF($C$9=119,VLOOKUP(B69,'Tabela 130 '!$A$5:$T$2711,MATCH($F$9,'Tabela 130 '!$A$5:$T$5,0),FALSE),IF($C$9=553,VLOOKUP(B69,#REF!,MATCH($F$9,#REF!,0),FALSE),IF($C$9=552,VLOOKUP(B69,#REF!,MATCH($F$9,#REF!,0),FALSE),IF($C$9=551,VLOOKUP(B69,#REF!,MATCH($F$9,#REF!,0),FALSE))))))))),"REF. NÃO CADASTRADA NA TABELA")</f>
        <v/>
      </c>
      <c r="H69" s="36"/>
      <c r="I69" s="37" t="str">
        <f t="shared" si="0"/>
        <v/>
      </c>
      <c r="J69" s="33" t="str">
        <f t="shared" si="1"/>
        <v/>
      </c>
      <c r="K69" s="38" t="str">
        <f>IF($F$6="","",IF(B69="","",IF(C69="REF. NÃO CADASTRADA NA TABELA","",IFERROR(VLOOKUP(B69,#REF!,VLOOKUP($F$6,'BASE CONTÁBIL'!N:O,2,FALSE),FALSE),0))))</f>
        <v/>
      </c>
      <c r="L69" s="35" t="str">
        <f t="shared" si="2"/>
        <v/>
      </c>
      <c r="M69" s="35" t="str">
        <f t="shared" si="3"/>
        <v/>
      </c>
      <c r="N69" s="35" t="str">
        <f t="shared" si="4"/>
        <v/>
      </c>
      <c r="O69" s="35" t="str">
        <f t="shared" si="5"/>
        <v/>
      </c>
      <c r="P69" s="33" t="e">
        <f t="shared" si="6"/>
        <v>#REF!</v>
      </c>
      <c r="Q69" s="2"/>
      <c r="R69" s="2"/>
      <c r="S69" s="2"/>
      <c r="T69" s="2"/>
      <c r="U69" s="2"/>
    </row>
    <row r="70" spans="1:21" ht="12.75" customHeight="1" x14ac:dyDescent="0.2">
      <c r="A70" s="2"/>
      <c r="B70" s="31"/>
      <c r="C70" s="32" t="str">
        <f>IFERROR((IF(B70="","",IF($F$6="","Informar UF / Tabela / Prazo de Pagamento",IF($F$9="","Informar UF / Tabela / Prazo de Pagamento",IF($C$9="","Informar UF / Tabela / Prazo de Pagamento",VLOOKUP(B70,'Tabela 130 '!$A$5:$T$1001,2,FALSE)))))),"REF. NÃO CADASTRADA NA TABELA")</f>
        <v/>
      </c>
      <c r="D70" s="33" t="str">
        <f>IF('FOLHA DE PEDIDO '!B70="","",IF(C70="REF. NÃO CADASTRADA NA TABELA","",VLOOKUP(B70,'Tabela 130 '!$A$5:$AI$801,3,FALSE)))</f>
        <v/>
      </c>
      <c r="E70" s="34"/>
      <c r="F70" s="34"/>
      <c r="G70" s="35" t="str">
        <f>IFERROR(IF(C70="REF. NÃO CADASTRADA NA TABELA","",IF($C$9="","",IF($F$9="","",IF(B70="","",IF($C$9=119,VLOOKUP(B70,'Tabela 130 '!$A$5:$T$2711,MATCH($F$9,'Tabela 130 '!$A$5:$T$5,0),FALSE),IF($C$9=553,VLOOKUP(B70,#REF!,MATCH($F$9,#REF!,0),FALSE),IF($C$9=552,VLOOKUP(B70,#REF!,MATCH($F$9,#REF!,0),FALSE),IF($C$9=551,VLOOKUP(B70,#REF!,MATCH($F$9,#REF!,0),FALSE))))))))),"REF. NÃO CADASTRADA NA TABELA")</f>
        <v/>
      </c>
      <c r="H70" s="36"/>
      <c r="I70" s="37" t="str">
        <f t="shared" si="0"/>
        <v/>
      </c>
      <c r="J70" s="33" t="str">
        <f t="shared" si="1"/>
        <v/>
      </c>
      <c r="K70" s="38" t="str">
        <f>IF($F$6="","",IF(B70="","",IF(C70="REF. NÃO CADASTRADA NA TABELA","",IFERROR(VLOOKUP(B70,#REF!,VLOOKUP($F$6,'BASE CONTÁBIL'!N:O,2,FALSE),FALSE),0))))</f>
        <v/>
      </c>
      <c r="L70" s="35" t="str">
        <f t="shared" si="2"/>
        <v/>
      </c>
      <c r="M70" s="35" t="str">
        <f t="shared" si="3"/>
        <v/>
      </c>
      <c r="N70" s="35" t="str">
        <f t="shared" si="4"/>
        <v/>
      </c>
      <c r="O70" s="35" t="str">
        <f t="shared" si="5"/>
        <v/>
      </c>
      <c r="P70" s="33" t="e">
        <f t="shared" si="6"/>
        <v>#REF!</v>
      </c>
      <c r="Q70" s="2"/>
      <c r="R70" s="2"/>
      <c r="S70" s="2"/>
      <c r="T70" s="2"/>
      <c r="U70" s="2"/>
    </row>
    <row r="71" spans="1:21" ht="12.75" customHeight="1" x14ac:dyDescent="0.2">
      <c r="A71" s="2"/>
      <c r="B71" s="31"/>
      <c r="C71" s="32" t="str">
        <f>IFERROR((IF(B71="","",IF($F$6="","Informar UF / Tabela / Prazo de Pagamento",IF($F$9="","Informar UF / Tabela / Prazo de Pagamento",IF($C$9="","Informar UF / Tabela / Prazo de Pagamento",VLOOKUP(B71,'Tabela 130 '!$A$5:$T$1001,2,FALSE)))))),"REF. NÃO CADASTRADA NA TABELA")</f>
        <v/>
      </c>
      <c r="D71" s="33" t="str">
        <f>IF('FOLHA DE PEDIDO '!B71="","",IF(C71="REF. NÃO CADASTRADA NA TABELA","",VLOOKUP(B71,'Tabela 130 '!$A$5:$AI$801,3,FALSE)))</f>
        <v/>
      </c>
      <c r="E71" s="34"/>
      <c r="F71" s="34"/>
      <c r="G71" s="35" t="str">
        <f>IFERROR(IF(C71="REF. NÃO CADASTRADA NA TABELA","",IF($C$9="","",IF($F$9="","",IF(B71="","",IF($C$9=119,VLOOKUP(B71,'Tabela 130 '!$A$5:$T$2711,MATCH($F$9,'Tabela 130 '!$A$5:$T$5,0),FALSE),IF($C$9=553,VLOOKUP(B71,#REF!,MATCH($F$9,#REF!,0),FALSE),IF($C$9=552,VLOOKUP(B71,#REF!,MATCH($F$9,#REF!,0),FALSE),IF($C$9=551,VLOOKUP(B71,#REF!,MATCH($F$9,#REF!,0),FALSE))))))))),"REF. NÃO CADASTRADA NA TABELA")</f>
        <v/>
      </c>
      <c r="H71" s="36"/>
      <c r="I71" s="37" t="str">
        <f t="shared" si="0"/>
        <v/>
      </c>
      <c r="J71" s="33" t="str">
        <f t="shared" si="1"/>
        <v/>
      </c>
      <c r="K71" s="38" t="str">
        <f>IF($F$6="","",IF(B71="","",IF(C71="REF. NÃO CADASTRADA NA TABELA","",IFERROR(VLOOKUP(B71,#REF!,VLOOKUP($F$6,'BASE CONTÁBIL'!N:O,2,FALSE),FALSE),0))))</f>
        <v/>
      </c>
      <c r="L71" s="35" t="str">
        <f t="shared" si="2"/>
        <v/>
      </c>
      <c r="M71" s="35" t="str">
        <f t="shared" si="3"/>
        <v/>
      </c>
      <c r="N71" s="35" t="str">
        <f t="shared" si="4"/>
        <v/>
      </c>
      <c r="O71" s="35" t="str">
        <f t="shared" si="5"/>
        <v/>
      </c>
      <c r="P71" s="33" t="e">
        <f t="shared" si="6"/>
        <v>#REF!</v>
      </c>
      <c r="Q71" s="2"/>
      <c r="R71" s="2"/>
      <c r="S71" s="2"/>
      <c r="T71" s="2"/>
      <c r="U71" s="2"/>
    </row>
    <row r="72" spans="1:21" ht="12.75" customHeight="1" x14ac:dyDescent="0.2">
      <c r="A72" s="2"/>
      <c r="B72" s="31"/>
      <c r="C72" s="32" t="str">
        <f>IFERROR((IF(B72="","",IF($F$6="","Informar UF / Tabela / Prazo de Pagamento",IF($F$9="","Informar UF / Tabela / Prazo de Pagamento",IF($C$9="","Informar UF / Tabela / Prazo de Pagamento",VLOOKUP(B72,'Tabela 130 '!$A$5:$T$1001,2,FALSE)))))),"REF. NÃO CADASTRADA NA TABELA")</f>
        <v/>
      </c>
      <c r="D72" s="33" t="str">
        <f>IF('FOLHA DE PEDIDO '!B72="","",IF(C72="REF. NÃO CADASTRADA NA TABELA","",VLOOKUP(B72,'Tabela 130 '!$A$5:$AI$801,3,FALSE)))</f>
        <v/>
      </c>
      <c r="E72" s="34"/>
      <c r="F72" s="34"/>
      <c r="G72" s="35" t="str">
        <f>IFERROR(IF(C72="REF. NÃO CADASTRADA NA TABELA","",IF($C$9="","",IF($F$9="","",IF(B72="","",IF($C$9=119,VLOOKUP(B72,'Tabela 130 '!$A$5:$T$2711,MATCH($F$9,'Tabela 130 '!$A$5:$T$5,0),FALSE),IF($C$9=553,VLOOKUP(B72,#REF!,MATCH($F$9,#REF!,0),FALSE),IF($C$9=552,VLOOKUP(B72,#REF!,MATCH($F$9,#REF!,0),FALSE),IF($C$9=551,VLOOKUP(B72,#REF!,MATCH($F$9,#REF!,0),FALSE))))))))),"REF. NÃO CADASTRADA NA TABELA")</f>
        <v/>
      </c>
      <c r="H72" s="36"/>
      <c r="I72" s="37" t="str">
        <f t="shared" si="0"/>
        <v/>
      </c>
      <c r="J72" s="33" t="str">
        <f t="shared" si="1"/>
        <v/>
      </c>
      <c r="K72" s="38" t="str">
        <f>IF($F$6="","",IF(B72="","",IF(C72="REF. NÃO CADASTRADA NA TABELA","",IFERROR(VLOOKUP(B72,#REF!,VLOOKUP($F$6,'BASE CONTÁBIL'!N:O,2,FALSE),FALSE),0))))</f>
        <v/>
      </c>
      <c r="L72" s="35" t="str">
        <f t="shared" si="2"/>
        <v/>
      </c>
      <c r="M72" s="35" t="str">
        <f t="shared" si="3"/>
        <v/>
      </c>
      <c r="N72" s="35" t="str">
        <f t="shared" si="4"/>
        <v/>
      </c>
      <c r="O72" s="35" t="str">
        <f t="shared" si="5"/>
        <v/>
      </c>
      <c r="P72" s="33" t="e">
        <f t="shared" si="6"/>
        <v>#REF!</v>
      </c>
      <c r="Q72" s="2"/>
      <c r="R72" s="2"/>
      <c r="S72" s="2"/>
      <c r="T72" s="2"/>
      <c r="U72" s="2"/>
    </row>
    <row r="73" spans="1:21" ht="12.75" customHeight="1" x14ac:dyDescent="0.2">
      <c r="A73" s="2"/>
      <c r="B73" s="31"/>
      <c r="C73" s="32" t="str">
        <f>IFERROR((IF(B73="","",IF($F$6="","Informar UF / Tabela / Prazo de Pagamento",IF($F$9="","Informar UF / Tabela / Prazo de Pagamento",IF($C$9="","Informar UF / Tabela / Prazo de Pagamento",VLOOKUP(B73,'Tabela 130 '!$A$5:$T$1001,2,FALSE)))))),"REF. NÃO CADASTRADA NA TABELA")</f>
        <v/>
      </c>
      <c r="D73" s="33" t="str">
        <f>IF('FOLHA DE PEDIDO '!B73="","",IF(C73="REF. NÃO CADASTRADA NA TABELA","",VLOOKUP(B73,'Tabela 130 '!$A$5:$AI$801,3,FALSE)))</f>
        <v/>
      </c>
      <c r="E73" s="34"/>
      <c r="F73" s="34"/>
      <c r="G73" s="35" t="str">
        <f>IFERROR(IF(C73="REF. NÃO CADASTRADA NA TABELA","",IF($C$9="","",IF($F$9="","",IF(B73="","",IF($C$9=119,VLOOKUP(B73,'Tabela 130 '!$A$5:$T$2711,MATCH($F$9,'Tabela 130 '!$A$5:$T$5,0),FALSE),IF($C$9=553,VLOOKUP(B73,#REF!,MATCH($F$9,#REF!,0),FALSE),IF($C$9=552,VLOOKUP(B73,#REF!,MATCH($F$9,#REF!,0),FALSE),IF($C$9=551,VLOOKUP(B73,#REF!,MATCH($F$9,#REF!,0),FALSE))))))))),"REF. NÃO CADASTRADA NA TABELA")</f>
        <v/>
      </c>
      <c r="H73" s="36"/>
      <c r="I73" s="37" t="str">
        <f t="shared" si="0"/>
        <v/>
      </c>
      <c r="J73" s="33" t="str">
        <f t="shared" si="1"/>
        <v/>
      </c>
      <c r="K73" s="38" t="str">
        <f>IF($F$6="","",IF(B73="","",IF(C73="REF. NÃO CADASTRADA NA TABELA","",IFERROR(VLOOKUP(B73,#REF!,VLOOKUP($F$6,'BASE CONTÁBIL'!N:O,2,FALSE),FALSE),0))))</f>
        <v/>
      </c>
      <c r="L73" s="35" t="str">
        <f t="shared" si="2"/>
        <v/>
      </c>
      <c r="M73" s="35" t="str">
        <f t="shared" si="3"/>
        <v/>
      </c>
      <c r="N73" s="35" t="str">
        <f t="shared" si="4"/>
        <v/>
      </c>
      <c r="O73" s="35" t="str">
        <f t="shared" si="5"/>
        <v/>
      </c>
      <c r="P73" s="33" t="e">
        <f t="shared" si="6"/>
        <v>#REF!</v>
      </c>
      <c r="Q73" s="2"/>
      <c r="R73" s="2"/>
      <c r="S73" s="2"/>
      <c r="T73" s="2"/>
      <c r="U73" s="2"/>
    </row>
    <row r="74" spans="1:21" ht="12.75" customHeight="1" x14ac:dyDescent="0.2">
      <c r="A74" s="2"/>
      <c r="B74" s="31"/>
      <c r="C74" s="32" t="str">
        <f>IFERROR((IF(B74="","",IF($F$6="","Informar UF / Tabela / Prazo de Pagamento",IF($F$9="","Informar UF / Tabela / Prazo de Pagamento",IF($C$9="","Informar UF / Tabela / Prazo de Pagamento",VLOOKUP(B74,'Tabela 130 '!$A$5:$T$1001,2,FALSE)))))),"REF. NÃO CADASTRADA NA TABELA")</f>
        <v/>
      </c>
      <c r="D74" s="33" t="str">
        <f>IF('FOLHA DE PEDIDO '!B74="","",IF(C74="REF. NÃO CADASTRADA NA TABELA","",VLOOKUP(B74,'Tabela 130 '!$A$5:$AI$801,3,FALSE)))</f>
        <v/>
      </c>
      <c r="E74" s="34"/>
      <c r="F74" s="34"/>
      <c r="G74" s="35" t="str">
        <f>IFERROR(IF(C74="REF. NÃO CADASTRADA NA TABELA","",IF($C$9="","",IF($F$9="","",IF(B74="","",IF($C$9=119,VLOOKUP(B74,'Tabela 130 '!$A$5:$T$2711,MATCH($F$9,'Tabela 130 '!$A$5:$T$5,0),FALSE),IF($C$9=553,VLOOKUP(B74,#REF!,MATCH($F$9,#REF!,0),FALSE),IF($C$9=552,VLOOKUP(B74,#REF!,MATCH($F$9,#REF!,0),FALSE),IF($C$9=551,VLOOKUP(B74,#REF!,MATCH($F$9,#REF!,0),FALSE))))))))),"REF. NÃO CADASTRADA NA TABELA")</f>
        <v/>
      </c>
      <c r="H74" s="36"/>
      <c r="I74" s="37" t="str">
        <f t="shared" si="0"/>
        <v/>
      </c>
      <c r="J74" s="33" t="str">
        <f t="shared" si="1"/>
        <v/>
      </c>
      <c r="K74" s="38" t="str">
        <f>IF($F$6="","",IF(B74="","",IF(C74="REF. NÃO CADASTRADA NA TABELA","",IFERROR(VLOOKUP(B74,#REF!,VLOOKUP($F$6,'BASE CONTÁBIL'!N:O,2,FALSE),FALSE),0))))</f>
        <v/>
      </c>
      <c r="L74" s="35" t="str">
        <f t="shared" si="2"/>
        <v/>
      </c>
      <c r="M74" s="35" t="str">
        <f t="shared" si="3"/>
        <v/>
      </c>
      <c r="N74" s="35" t="str">
        <f t="shared" si="4"/>
        <v/>
      </c>
      <c r="O74" s="35" t="str">
        <f t="shared" si="5"/>
        <v/>
      </c>
      <c r="P74" s="33" t="e">
        <f t="shared" si="6"/>
        <v>#REF!</v>
      </c>
      <c r="Q74" s="2"/>
      <c r="R74" s="2"/>
      <c r="S74" s="2"/>
      <c r="T74" s="2"/>
      <c r="U74" s="2"/>
    </row>
    <row r="75" spans="1:21" ht="12.75" customHeight="1" x14ac:dyDescent="0.2">
      <c r="A75" s="2"/>
      <c r="B75" s="31"/>
      <c r="C75" s="32" t="str">
        <f>IFERROR((IF(B75="","",IF($F$6="","Informar UF / Tabela / Prazo de Pagamento",IF($F$9="","Informar UF / Tabela / Prazo de Pagamento",IF($C$9="","Informar UF / Tabela / Prazo de Pagamento",VLOOKUP(B75,'Tabela 130 '!$A$5:$T$1001,2,FALSE)))))),"REF. NÃO CADASTRADA NA TABELA")</f>
        <v/>
      </c>
      <c r="D75" s="33" t="str">
        <f>IF('FOLHA DE PEDIDO '!B75="","",IF(C75="REF. NÃO CADASTRADA NA TABELA","",VLOOKUP(B75,'Tabela 130 '!$A$5:$AI$801,3,FALSE)))</f>
        <v/>
      </c>
      <c r="E75" s="34"/>
      <c r="F75" s="34"/>
      <c r="G75" s="35" t="str">
        <f>IFERROR(IF(C75="REF. NÃO CADASTRADA NA TABELA","",IF($C$9="","",IF($F$9="","",IF(B75="","",IF($C$9=119,VLOOKUP(B75,'Tabela 130 '!$A$5:$T$2711,MATCH($F$9,'Tabela 130 '!$A$5:$T$5,0),FALSE),IF($C$9=553,VLOOKUP(B75,#REF!,MATCH($F$9,#REF!,0),FALSE),IF($C$9=552,VLOOKUP(B75,#REF!,MATCH($F$9,#REF!,0),FALSE),IF($C$9=551,VLOOKUP(B75,#REF!,MATCH($F$9,#REF!,0),FALSE))))))))),"REF. NÃO CADASTRADA NA TABELA")</f>
        <v/>
      </c>
      <c r="H75" s="36"/>
      <c r="I75" s="37" t="str">
        <f t="shared" si="0"/>
        <v/>
      </c>
      <c r="J75" s="33" t="str">
        <f t="shared" si="1"/>
        <v/>
      </c>
      <c r="K75" s="38" t="str">
        <f>IF($F$6="","",IF(B75="","",IF(C75="REF. NÃO CADASTRADA NA TABELA","",IFERROR(VLOOKUP(B75,#REF!,VLOOKUP($F$6,'BASE CONTÁBIL'!N:O,2,FALSE),FALSE),0))))</f>
        <v/>
      </c>
      <c r="L75" s="35" t="str">
        <f t="shared" si="2"/>
        <v/>
      </c>
      <c r="M75" s="35" t="str">
        <f t="shared" si="3"/>
        <v/>
      </c>
      <c r="N75" s="35" t="str">
        <f t="shared" si="4"/>
        <v/>
      </c>
      <c r="O75" s="35" t="str">
        <f t="shared" si="5"/>
        <v/>
      </c>
      <c r="P75" s="33" t="e">
        <f t="shared" si="6"/>
        <v>#REF!</v>
      </c>
      <c r="Q75" s="2"/>
      <c r="R75" s="2"/>
      <c r="S75" s="2"/>
      <c r="T75" s="2"/>
      <c r="U75" s="2"/>
    </row>
    <row r="76" spans="1:21" ht="12.75" customHeight="1" x14ac:dyDescent="0.2">
      <c r="A76" s="2"/>
      <c r="B76" s="31"/>
      <c r="C76" s="32" t="str">
        <f>IFERROR((IF(B76="","",IF($F$6="","Informar UF / Tabela / Prazo de Pagamento",IF($F$9="","Informar UF / Tabela / Prazo de Pagamento",IF($C$9="","Informar UF / Tabela / Prazo de Pagamento",VLOOKUP(B76,'Tabela 130 '!$A$5:$T$1001,2,FALSE)))))),"REF. NÃO CADASTRADA NA TABELA")</f>
        <v/>
      </c>
      <c r="D76" s="33" t="str">
        <f>IF('FOLHA DE PEDIDO '!B76="","",IF(C76="REF. NÃO CADASTRADA NA TABELA","",VLOOKUP(B76,'Tabela 130 '!$A$5:$AI$801,3,FALSE)))</f>
        <v/>
      </c>
      <c r="E76" s="34"/>
      <c r="F76" s="34"/>
      <c r="G76" s="35" t="str">
        <f>IFERROR(IF(C76="REF. NÃO CADASTRADA NA TABELA","",IF($C$9="","",IF($F$9="","",IF(B76="","",IF($C$9=119,VLOOKUP(B76,'Tabela 130 '!$A$5:$T$2711,MATCH($F$9,'Tabela 130 '!$A$5:$T$5,0),FALSE),IF($C$9=553,VLOOKUP(B76,#REF!,MATCH($F$9,#REF!,0),FALSE),IF($C$9=552,VLOOKUP(B76,#REF!,MATCH($F$9,#REF!,0),FALSE),IF($C$9=551,VLOOKUP(B76,#REF!,MATCH($F$9,#REF!,0),FALSE))))))))),"REF. NÃO CADASTRADA NA TABELA")</f>
        <v/>
      </c>
      <c r="H76" s="36"/>
      <c r="I76" s="37" t="str">
        <f t="shared" si="0"/>
        <v/>
      </c>
      <c r="J76" s="33" t="str">
        <f t="shared" si="1"/>
        <v/>
      </c>
      <c r="K76" s="38" t="str">
        <f>IF($F$6="","",IF(B76="","",IF(C76="REF. NÃO CADASTRADA NA TABELA","",IFERROR(VLOOKUP(B76,#REF!,VLOOKUP($F$6,'BASE CONTÁBIL'!N:O,2,FALSE),FALSE),0))))</f>
        <v/>
      </c>
      <c r="L76" s="35" t="str">
        <f t="shared" si="2"/>
        <v/>
      </c>
      <c r="M76" s="35" t="str">
        <f t="shared" si="3"/>
        <v/>
      </c>
      <c r="N76" s="35" t="str">
        <f t="shared" si="4"/>
        <v/>
      </c>
      <c r="O76" s="35" t="str">
        <f t="shared" si="5"/>
        <v/>
      </c>
      <c r="P76" s="33" t="e">
        <f t="shared" si="6"/>
        <v>#REF!</v>
      </c>
      <c r="Q76" s="2"/>
      <c r="R76" s="2"/>
      <c r="S76" s="2"/>
      <c r="T76" s="2"/>
      <c r="U76" s="2"/>
    </row>
    <row r="77" spans="1:21" ht="12.75" customHeight="1" x14ac:dyDescent="0.2">
      <c r="A77" s="2"/>
      <c r="B77" s="31"/>
      <c r="C77" s="32" t="str">
        <f>IFERROR((IF(B77="","",IF($F$6="","Informar UF / Tabela / Prazo de Pagamento",IF($F$9="","Informar UF / Tabela / Prazo de Pagamento",IF($C$9="","Informar UF / Tabela / Prazo de Pagamento",VLOOKUP(B77,'Tabela 130 '!$A$5:$T$1001,2,FALSE)))))),"REF. NÃO CADASTRADA NA TABELA")</f>
        <v/>
      </c>
      <c r="D77" s="33" t="str">
        <f>IF('FOLHA DE PEDIDO '!B77="","",IF(C77="REF. NÃO CADASTRADA NA TABELA","",VLOOKUP(B77,'Tabela 130 '!$A$5:$AI$801,3,FALSE)))</f>
        <v/>
      </c>
      <c r="E77" s="34"/>
      <c r="F77" s="34"/>
      <c r="G77" s="35" t="str">
        <f>IFERROR(IF(C77="REF. NÃO CADASTRADA NA TABELA","",IF($C$9="","",IF($F$9="","",IF(B77="","",IF($C$9=119,VLOOKUP(B77,'Tabela 130 '!$A$5:$T$2711,MATCH($F$9,'Tabela 130 '!$A$5:$T$5,0),FALSE),IF($C$9=553,VLOOKUP(B77,#REF!,MATCH($F$9,#REF!,0),FALSE),IF($C$9=552,VLOOKUP(B77,#REF!,MATCH($F$9,#REF!,0),FALSE),IF($C$9=551,VLOOKUP(B77,#REF!,MATCH($F$9,#REF!,0),FALSE))))))))),"REF. NÃO CADASTRADA NA TABELA")</f>
        <v/>
      </c>
      <c r="H77" s="36"/>
      <c r="I77" s="37" t="str">
        <f t="shared" si="0"/>
        <v/>
      </c>
      <c r="J77" s="33" t="str">
        <f t="shared" si="1"/>
        <v/>
      </c>
      <c r="K77" s="38" t="str">
        <f>IF($F$6="","",IF(B77="","",IF(C77="REF. NÃO CADASTRADA NA TABELA","",IFERROR(VLOOKUP(B77,#REF!,VLOOKUP($F$6,'BASE CONTÁBIL'!N:O,2,FALSE),FALSE),0))))</f>
        <v/>
      </c>
      <c r="L77" s="35" t="str">
        <f t="shared" si="2"/>
        <v/>
      </c>
      <c r="M77" s="35" t="str">
        <f t="shared" si="3"/>
        <v/>
      </c>
      <c r="N77" s="35" t="str">
        <f t="shared" si="4"/>
        <v/>
      </c>
      <c r="O77" s="35" t="str">
        <f t="shared" si="5"/>
        <v/>
      </c>
      <c r="P77" s="33" t="e">
        <f t="shared" si="6"/>
        <v>#REF!</v>
      </c>
      <c r="Q77" s="2"/>
      <c r="R77" s="2"/>
      <c r="S77" s="2"/>
      <c r="T77" s="2"/>
      <c r="U77" s="2"/>
    </row>
    <row r="78" spans="1:21" ht="12.75" customHeight="1" x14ac:dyDescent="0.2">
      <c r="A78" s="2"/>
      <c r="B78" s="31"/>
      <c r="C78" s="32" t="str">
        <f>IFERROR((IF(B78="","",IF($F$6="","Informar UF / Tabela / Prazo de Pagamento",IF($F$9="","Informar UF / Tabela / Prazo de Pagamento",IF($C$9="","Informar UF / Tabela / Prazo de Pagamento",VLOOKUP(B78,'Tabela 130 '!$A$5:$T$1001,2,FALSE)))))),"REF. NÃO CADASTRADA NA TABELA")</f>
        <v/>
      </c>
      <c r="D78" s="33" t="str">
        <f>IF('FOLHA DE PEDIDO '!B78="","",IF(C78="REF. NÃO CADASTRADA NA TABELA","",VLOOKUP(B78,'Tabela 130 '!$A$5:$AI$801,3,FALSE)))</f>
        <v/>
      </c>
      <c r="E78" s="34"/>
      <c r="F78" s="34"/>
      <c r="G78" s="35" t="str">
        <f>IFERROR(IF(C78="REF. NÃO CADASTRADA NA TABELA","",IF($C$9="","",IF($F$9="","",IF(B78="","",IF($C$9=119,VLOOKUP(B78,'Tabela 130 '!$A$5:$T$2711,MATCH($F$9,'Tabela 130 '!$A$5:$T$5,0),FALSE),IF($C$9=553,VLOOKUP(B78,#REF!,MATCH($F$9,#REF!,0),FALSE),IF($C$9=552,VLOOKUP(B78,#REF!,MATCH($F$9,#REF!,0),FALSE),IF($C$9=551,VLOOKUP(B78,#REF!,MATCH($F$9,#REF!,0),FALSE))))))))),"REF. NÃO CADASTRADA NA TABELA")</f>
        <v/>
      </c>
      <c r="H78" s="36"/>
      <c r="I78" s="37" t="str">
        <f t="shared" si="0"/>
        <v/>
      </c>
      <c r="J78" s="33" t="str">
        <f t="shared" si="1"/>
        <v/>
      </c>
      <c r="K78" s="38" t="str">
        <f>IF($F$6="","",IF(B78="","",IF(C78="REF. NÃO CADASTRADA NA TABELA","",IFERROR(VLOOKUP(B78,#REF!,VLOOKUP($F$6,'BASE CONTÁBIL'!N:O,2,FALSE),FALSE),0))))</f>
        <v/>
      </c>
      <c r="L78" s="35" t="str">
        <f t="shared" si="2"/>
        <v/>
      </c>
      <c r="M78" s="35" t="str">
        <f t="shared" si="3"/>
        <v/>
      </c>
      <c r="N78" s="35" t="str">
        <f t="shared" si="4"/>
        <v/>
      </c>
      <c r="O78" s="35" t="str">
        <f t="shared" si="5"/>
        <v/>
      </c>
      <c r="P78" s="33" t="e">
        <f t="shared" si="6"/>
        <v>#REF!</v>
      </c>
      <c r="Q78" s="2"/>
      <c r="R78" s="2"/>
      <c r="S78" s="2"/>
      <c r="T78" s="2"/>
      <c r="U78" s="2"/>
    </row>
    <row r="79" spans="1:21" ht="12.75" customHeight="1" x14ac:dyDescent="0.2">
      <c r="A79" s="2"/>
      <c r="B79" s="31"/>
      <c r="C79" s="32" t="str">
        <f>IFERROR((IF(B79="","",IF($F$6="","Informar UF / Tabela / Prazo de Pagamento",IF($F$9="","Informar UF / Tabela / Prazo de Pagamento",IF($C$9="","Informar UF / Tabela / Prazo de Pagamento",VLOOKUP(B79,'Tabela 130 '!$A$5:$T$1001,2,FALSE)))))),"REF. NÃO CADASTRADA NA TABELA")</f>
        <v/>
      </c>
      <c r="D79" s="33" t="str">
        <f>IF('FOLHA DE PEDIDO '!B79="","",IF(C79="REF. NÃO CADASTRADA NA TABELA","",VLOOKUP(B79,'Tabela 130 '!$A$5:$AI$801,3,FALSE)))</f>
        <v/>
      </c>
      <c r="E79" s="34"/>
      <c r="F79" s="34"/>
      <c r="G79" s="35" t="str">
        <f>IFERROR(IF(C79="REF. NÃO CADASTRADA NA TABELA","",IF($C$9="","",IF($F$9="","",IF(B79="","",IF($C$9=119,VLOOKUP(B79,'Tabela 130 '!$A$5:$T$2711,MATCH($F$9,'Tabela 130 '!$A$5:$T$5,0),FALSE),IF($C$9=553,VLOOKUP(B79,#REF!,MATCH($F$9,#REF!,0),FALSE),IF($C$9=552,VLOOKUP(B79,#REF!,MATCH($F$9,#REF!,0),FALSE),IF($C$9=551,VLOOKUP(B79,#REF!,MATCH($F$9,#REF!,0),FALSE))))))))),"REF. NÃO CADASTRADA NA TABELA")</f>
        <v/>
      </c>
      <c r="H79" s="36"/>
      <c r="I79" s="37" t="str">
        <f t="shared" si="0"/>
        <v/>
      </c>
      <c r="J79" s="33" t="str">
        <f t="shared" si="1"/>
        <v/>
      </c>
      <c r="K79" s="38" t="str">
        <f>IF($F$6="","",IF(B79="","",IF(C79="REF. NÃO CADASTRADA NA TABELA","",IFERROR(VLOOKUP(B79,#REF!,VLOOKUP($F$6,'BASE CONTÁBIL'!N:O,2,FALSE),FALSE),0))))</f>
        <v/>
      </c>
      <c r="L79" s="35" t="str">
        <f t="shared" si="2"/>
        <v/>
      </c>
      <c r="M79" s="35" t="str">
        <f t="shared" si="3"/>
        <v/>
      </c>
      <c r="N79" s="35" t="str">
        <f t="shared" si="4"/>
        <v/>
      </c>
      <c r="O79" s="35" t="str">
        <f t="shared" si="5"/>
        <v/>
      </c>
      <c r="P79" s="33" t="e">
        <f t="shared" si="6"/>
        <v>#REF!</v>
      </c>
      <c r="Q79" s="2"/>
      <c r="R79" s="2"/>
      <c r="S79" s="2"/>
      <c r="T79" s="2"/>
      <c r="U79" s="2"/>
    </row>
    <row r="80" spans="1:21" ht="12.75" customHeight="1" x14ac:dyDescent="0.2">
      <c r="A80" s="2"/>
      <c r="B80" s="31"/>
      <c r="C80" s="32" t="str">
        <f>IFERROR((IF(B80="","",IF($F$6="","Informar UF / Tabela / Prazo de Pagamento",IF($F$9="","Informar UF / Tabela / Prazo de Pagamento",IF($C$9="","Informar UF / Tabela / Prazo de Pagamento",VLOOKUP(B80,'Tabela 130 '!$A$5:$T$1001,2,FALSE)))))),"REF. NÃO CADASTRADA NA TABELA")</f>
        <v/>
      </c>
      <c r="D80" s="33" t="str">
        <f>IF('FOLHA DE PEDIDO '!B80="","",IF(C80="REF. NÃO CADASTRADA NA TABELA","",VLOOKUP(B80,'Tabela 130 '!$A$5:$AI$801,3,FALSE)))</f>
        <v/>
      </c>
      <c r="E80" s="34"/>
      <c r="F80" s="34"/>
      <c r="G80" s="35" t="str">
        <f>IFERROR(IF(C80="REF. NÃO CADASTRADA NA TABELA","",IF($C$9="","",IF($F$9="","",IF(B80="","",IF($C$9=119,VLOOKUP(B80,'Tabela 130 '!$A$5:$T$2711,MATCH($F$9,'Tabela 130 '!$A$5:$T$5,0),FALSE),IF($C$9=553,VLOOKUP(B80,#REF!,MATCH($F$9,#REF!,0),FALSE),IF($C$9=552,VLOOKUP(B80,#REF!,MATCH($F$9,#REF!,0),FALSE),IF($C$9=551,VLOOKUP(B80,#REF!,MATCH($F$9,#REF!,0),FALSE))))))))),"REF. NÃO CADASTRADA NA TABELA")</f>
        <v/>
      </c>
      <c r="H80" s="36"/>
      <c r="I80" s="37" t="str">
        <f t="shared" si="0"/>
        <v/>
      </c>
      <c r="J80" s="33" t="str">
        <f t="shared" si="1"/>
        <v/>
      </c>
      <c r="K80" s="38" t="str">
        <f>IF($F$6="","",IF(B80="","",IF(C80="REF. NÃO CADASTRADA NA TABELA","",IFERROR(VLOOKUP(B80,#REF!,VLOOKUP($F$6,'BASE CONTÁBIL'!N:O,2,FALSE),FALSE),0))))</f>
        <v/>
      </c>
      <c r="L80" s="35" t="str">
        <f t="shared" si="2"/>
        <v/>
      </c>
      <c r="M80" s="35" t="str">
        <f t="shared" si="3"/>
        <v/>
      </c>
      <c r="N80" s="35" t="str">
        <f t="shared" si="4"/>
        <v/>
      </c>
      <c r="O80" s="35" t="str">
        <f t="shared" si="5"/>
        <v/>
      </c>
      <c r="P80" s="33" t="e">
        <f t="shared" si="6"/>
        <v>#REF!</v>
      </c>
      <c r="Q80" s="2"/>
      <c r="R80" s="2"/>
      <c r="S80" s="2"/>
      <c r="T80" s="2"/>
      <c r="U80" s="2"/>
    </row>
    <row r="81" spans="1:21" ht="12.75" customHeight="1" x14ac:dyDescent="0.2">
      <c r="A81" s="2"/>
      <c r="B81" s="31"/>
      <c r="C81" s="32" t="str">
        <f>IFERROR((IF(B81="","",IF($F$6="","Informar UF / Tabela / Prazo de Pagamento",IF($F$9="","Informar UF / Tabela / Prazo de Pagamento",IF($C$9="","Informar UF / Tabela / Prazo de Pagamento",VLOOKUP(B81,'Tabela 130 '!$A$5:$T$1001,2,FALSE)))))),"REF. NÃO CADASTRADA NA TABELA")</f>
        <v/>
      </c>
      <c r="D81" s="33" t="str">
        <f>IF('FOLHA DE PEDIDO '!B81="","",IF(C81="REF. NÃO CADASTRADA NA TABELA","",VLOOKUP(B81,'Tabela 130 '!$A$5:$AI$801,3,FALSE)))</f>
        <v/>
      </c>
      <c r="E81" s="34"/>
      <c r="F81" s="34"/>
      <c r="G81" s="35" t="str">
        <f>IFERROR(IF(C81="REF. NÃO CADASTRADA NA TABELA","",IF($C$9="","",IF($F$9="","",IF(B81="","",IF($C$9=119,VLOOKUP(B81,'Tabela 130 '!$A$5:$T$2711,MATCH($F$9,'Tabela 130 '!$A$5:$T$5,0),FALSE),IF($C$9=553,VLOOKUP(B81,#REF!,MATCH($F$9,#REF!,0),FALSE),IF($C$9=552,VLOOKUP(B81,#REF!,MATCH($F$9,#REF!,0),FALSE),IF($C$9=551,VLOOKUP(B81,#REF!,MATCH($F$9,#REF!,0),FALSE))))))))),"REF. NÃO CADASTRADA NA TABELA")</f>
        <v/>
      </c>
      <c r="H81" s="36"/>
      <c r="I81" s="37" t="str">
        <f t="shared" si="0"/>
        <v/>
      </c>
      <c r="J81" s="33" t="str">
        <f t="shared" si="1"/>
        <v/>
      </c>
      <c r="K81" s="38" t="str">
        <f>IF($F$6="","",IF(B81="","",IF(C81="REF. NÃO CADASTRADA NA TABELA","",IFERROR(VLOOKUP(B81,#REF!,VLOOKUP($F$6,'BASE CONTÁBIL'!N:O,2,FALSE),FALSE),0))))</f>
        <v/>
      </c>
      <c r="L81" s="35" t="str">
        <f t="shared" si="2"/>
        <v/>
      </c>
      <c r="M81" s="35" t="str">
        <f t="shared" si="3"/>
        <v/>
      </c>
      <c r="N81" s="35" t="str">
        <f t="shared" si="4"/>
        <v/>
      </c>
      <c r="O81" s="35" t="str">
        <f t="shared" si="5"/>
        <v/>
      </c>
      <c r="P81" s="33" t="e">
        <f t="shared" si="6"/>
        <v>#REF!</v>
      </c>
      <c r="Q81" s="2"/>
      <c r="R81" s="2"/>
      <c r="S81" s="2"/>
      <c r="T81" s="2"/>
      <c r="U81" s="2"/>
    </row>
    <row r="82" spans="1:21" ht="12.75" customHeight="1" x14ac:dyDescent="0.2">
      <c r="A82" s="2"/>
      <c r="B82" s="31"/>
      <c r="C82" s="32" t="str">
        <f>IFERROR((IF(B82="","",IF($F$6="","Informar UF / Tabela / Prazo de Pagamento",IF($F$9="","Informar UF / Tabela / Prazo de Pagamento",IF($C$9="","Informar UF / Tabela / Prazo de Pagamento",VLOOKUP(B82,'Tabela 130 '!$A$5:$T$1001,2,FALSE)))))),"REF. NÃO CADASTRADA NA TABELA")</f>
        <v/>
      </c>
      <c r="D82" s="33" t="str">
        <f>IF('FOLHA DE PEDIDO '!B82="","",IF(C82="REF. NÃO CADASTRADA NA TABELA","",VLOOKUP(B82,'Tabela 130 '!$A$5:$AI$801,3,FALSE)))</f>
        <v/>
      </c>
      <c r="E82" s="34"/>
      <c r="F82" s="34"/>
      <c r="G82" s="35" t="str">
        <f>IFERROR(IF(C82="REF. NÃO CADASTRADA NA TABELA","",IF($C$9="","",IF($F$9="","",IF(B82="","",IF($C$9=119,VLOOKUP(B82,'Tabela 130 '!$A$5:$T$2711,MATCH($F$9,'Tabela 130 '!$A$5:$T$5,0),FALSE),IF($C$9=553,VLOOKUP(B82,#REF!,MATCH($F$9,#REF!,0),FALSE),IF($C$9=552,VLOOKUP(B82,#REF!,MATCH($F$9,#REF!,0),FALSE),IF($C$9=551,VLOOKUP(B82,#REF!,MATCH($F$9,#REF!,0),FALSE))))))))),"REF. NÃO CADASTRADA NA TABELA")</f>
        <v/>
      </c>
      <c r="H82" s="36"/>
      <c r="I82" s="37" t="str">
        <f t="shared" si="0"/>
        <v/>
      </c>
      <c r="J82" s="33" t="str">
        <f t="shared" si="1"/>
        <v/>
      </c>
      <c r="K82" s="38" t="str">
        <f>IF($F$6="","",IF(B82="","",IF(C82="REF. NÃO CADASTRADA NA TABELA","",IFERROR(VLOOKUP(B82,#REF!,VLOOKUP($F$6,'BASE CONTÁBIL'!N:O,2,FALSE),FALSE),0))))</f>
        <v/>
      </c>
      <c r="L82" s="35" t="str">
        <f t="shared" si="2"/>
        <v/>
      </c>
      <c r="M82" s="35" t="str">
        <f t="shared" si="3"/>
        <v/>
      </c>
      <c r="N82" s="35" t="str">
        <f t="shared" si="4"/>
        <v/>
      </c>
      <c r="O82" s="35" t="str">
        <f t="shared" si="5"/>
        <v/>
      </c>
      <c r="P82" s="33" t="e">
        <f t="shared" si="6"/>
        <v>#REF!</v>
      </c>
      <c r="Q82" s="2"/>
      <c r="R82" s="2"/>
      <c r="S82" s="2"/>
      <c r="T82" s="2"/>
      <c r="U82" s="2"/>
    </row>
    <row r="83" spans="1:21" ht="12.75" customHeight="1" x14ac:dyDescent="0.2">
      <c r="A83" s="2"/>
      <c r="B83" s="31"/>
      <c r="C83" s="32" t="str">
        <f>IFERROR((IF(B83="","",IF($F$6="","Informar UF / Tabela / Prazo de Pagamento",IF($F$9="","Informar UF / Tabela / Prazo de Pagamento",IF($C$9="","Informar UF / Tabela / Prazo de Pagamento",VLOOKUP(B83,'Tabela 130 '!$A$5:$T$1001,2,FALSE)))))),"REF. NÃO CADASTRADA NA TABELA")</f>
        <v/>
      </c>
      <c r="D83" s="33" t="str">
        <f>IF('FOLHA DE PEDIDO '!B83="","",IF(C83="REF. NÃO CADASTRADA NA TABELA","",VLOOKUP(B83,'Tabela 130 '!$A$5:$AI$801,3,FALSE)))</f>
        <v/>
      </c>
      <c r="E83" s="34"/>
      <c r="F83" s="34"/>
      <c r="G83" s="35" t="str">
        <f>IFERROR(IF(C83="REF. NÃO CADASTRADA NA TABELA","",IF($C$9="","",IF($F$9="","",IF(B83="","",IF($C$9=119,VLOOKUP(B83,'Tabela 130 '!$A$5:$T$2711,MATCH($F$9,'Tabela 130 '!$A$5:$T$5,0),FALSE),IF($C$9=553,VLOOKUP(B83,#REF!,MATCH($F$9,#REF!,0),FALSE),IF($C$9=552,VLOOKUP(B83,#REF!,MATCH($F$9,#REF!,0),FALSE),IF($C$9=551,VLOOKUP(B83,#REF!,MATCH($F$9,#REF!,0),FALSE))))))))),"REF. NÃO CADASTRADA NA TABELA")</f>
        <v/>
      </c>
      <c r="H83" s="36"/>
      <c r="I83" s="37" t="str">
        <f t="shared" si="0"/>
        <v/>
      </c>
      <c r="J83" s="33" t="str">
        <f t="shared" si="1"/>
        <v/>
      </c>
      <c r="K83" s="38" t="str">
        <f>IF($F$6="","",IF(B83="","",IF(C83="REF. NÃO CADASTRADA NA TABELA","",IFERROR(VLOOKUP(B83,#REF!,VLOOKUP($F$6,'BASE CONTÁBIL'!N:O,2,FALSE),FALSE),0))))</f>
        <v/>
      </c>
      <c r="L83" s="35" t="str">
        <f t="shared" si="2"/>
        <v/>
      </c>
      <c r="M83" s="35" t="str">
        <f t="shared" si="3"/>
        <v/>
      </c>
      <c r="N83" s="35" t="str">
        <f t="shared" si="4"/>
        <v/>
      </c>
      <c r="O83" s="35" t="str">
        <f t="shared" si="5"/>
        <v/>
      </c>
      <c r="P83" s="33" t="e">
        <f t="shared" si="6"/>
        <v>#REF!</v>
      </c>
      <c r="Q83" s="2"/>
      <c r="R83" s="2"/>
      <c r="S83" s="2"/>
      <c r="T83" s="2"/>
      <c r="U83" s="2"/>
    </row>
    <row r="84" spans="1:21" ht="12.75" customHeight="1" x14ac:dyDescent="0.2">
      <c r="A84" s="2"/>
      <c r="B84" s="31"/>
      <c r="C84" s="32" t="str">
        <f>IFERROR((IF(B84="","",IF($F$6="","Informar UF / Tabela / Prazo de Pagamento",IF($F$9="","Informar UF / Tabela / Prazo de Pagamento",IF($C$9="","Informar UF / Tabela / Prazo de Pagamento",VLOOKUP(B84,'Tabela 130 '!$A$5:$T$1001,2,FALSE)))))),"REF. NÃO CADASTRADA NA TABELA")</f>
        <v/>
      </c>
      <c r="D84" s="33" t="str">
        <f>IF('FOLHA DE PEDIDO '!B84="","",IF(C84="REF. NÃO CADASTRADA NA TABELA","",VLOOKUP(B84,'Tabela 130 '!$A$5:$AI$801,3,FALSE)))</f>
        <v/>
      </c>
      <c r="E84" s="34"/>
      <c r="F84" s="34"/>
      <c r="G84" s="35" t="str">
        <f>IFERROR(IF(C84="REF. NÃO CADASTRADA NA TABELA","",IF($C$9="","",IF($F$9="","",IF(B84="","",IF($C$9=119,VLOOKUP(B84,'Tabela 130 '!$A$5:$T$2711,MATCH($F$9,'Tabela 130 '!$A$5:$T$5,0),FALSE),IF($C$9=553,VLOOKUP(B84,#REF!,MATCH($F$9,#REF!,0),FALSE),IF($C$9=552,VLOOKUP(B84,#REF!,MATCH($F$9,#REF!,0),FALSE),IF($C$9=551,VLOOKUP(B84,#REF!,MATCH($F$9,#REF!,0),FALSE))))))))),"REF. NÃO CADASTRADA NA TABELA")</f>
        <v/>
      </c>
      <c r="H84" s="36"/>
      <c r="I84" s="37" t="str">
        <f t="shared" si="0"/>
        <v/>
      </c>
      <c r="J84" s="33" t="str">
        <f t="shared" si="1"/>
        <v/>
      </c>
      <c r="K84" s="38" t="str">
        <f>IF($F$6="","",IF(B84="","",IF(C84="REF. NÃO CADASTRADA NA TABELA","",IFERROR(VLOOKUP(B84,#REF!,VLOOKUP($F$6,'BASE CONTÁBIL'!N:O,2,FALSE),FALSE),0))))</f>
        <v/>
      </c>
      <c r="L84" s="35" t="str">
        <f t="shared" si="2"/>
        <v/>
      </c>
      <c r="M84" s="35" t="str">
        <f t="shared" si="3"/>
        <v/>
      </c>
      <c r="N84" s="35" t="str">
        <f t="shared" si="4"/>
        <v/>
      </c>
      <c r="O84" s="35" t="str">
        <f t="shared" si="5"/>
        <v/>
      </c>
      <c r="P84" s="33" t="e">
        <f t="shared" si="6"/>
        <v>#REF!</v>
      </c>
      <c r="Q84" s="2"/>
      <c r="R84" s="2"/>
      <c r="S84" s="2"/>
      <c r="T84" s="2"/>
      <c r="U84" s="2"/>
    </row>
    <row r="85" spans="1:21" ht="12.75" customHeight="1" x14ac:dyDescent="0.2">
      <c r="A85" s="2"/>
      <c r="B85" s="31"/>
      <c r="C85" s="32" t="str">
        <f>IFERROR((IF(B85="","",IF($F$6="","Informar UF / Tabela / Prazo de Pagamento",IF($F$9="","Informar UF / Tabela / Prazo de Pagamento",IF($C$9="","Informar UF / Tabela / Prazo de Pagamento",VLOOKUP(B85,'Tabela 130 '!$A$5:$T$1001,2,FALSE)))))),"REF. NÃO CADASTRADA NA TABELA")</f>
        <v/>
      </c>
      <c r="D85" s="33" t="str">
        <f>IF('FOLHA DE PEDIDO '!B85="","",IF(C85="REF. NÃO CADASTRADA NA TABELA","",VLOOKUP(B85,'Tabela 130 '!$A$5:$AI$801,3,FALSE)))</f>
        <v/>
      </c>
      <c r="E85" s="34"/>
      <c r="F85" s="34"/>
      <c r="G85" s="35" t="str">
        <f>IFERROR(IF(C85="REF. NÃO CADASTRADA NA TABELA","",IF($C$9="","",IF($F$9="","",IF(B85="","",IF($C$9=119,VLOOKUP(B85,'Tabela 130 '!$A$5:$T$2711,MATCH($F$9,'Tabela 130 '!$A$5:$T$5,0),FALSE),IF($C$9=553,VLOOKUP(B85,#REF!,MATCH($F$9,#REF!,0),FALSE),IF($C$9=552,VLOOKUP(B85,#REF!,MATCH($F$9,#REF!,0),FALSE),IF($C$9=551,VLOOKUP(B85,#REF!,MATCH($F$9,#REF!,0),FALSE))))))))),"REF. NÃO CADASTRADA NA TABELA")</f>
        <v/>
      </c>
      <c r="H85" s="36"/>
      <c r="I85" s="37" t="str">
        <f t="shared" si="0"/>
        <v/>
      </c>
      <c r="J85" s="33" t="str">
        <f t="shared" si="1"/>
        <v/>
      </c>
      <c r="K85" s="38" t="str">
        <f>IF($F$6="","",IF(B85="","",IF(C85="REF. NÃO CADASTRADA NA TABELA","",IFERROR(VLOOKUP(B85,#REF!,VLOOKUP($F$6,'BASE CONTÁBIL'!N:O,2,FALSE),FALSE),0))))</f>
        <v/>
      </c>
      <c r="L85" s="35" t="str">
        <f t="shared" si="2"/>
        <v/>
      </c>
      <c r="M85" s="35" t="str">
        <f t="shared" si="3"/>
        <v/>
      </c>
      <c r="N85" s="35" t="str">
        <f t="shared" si="4"/>
        <v/>
      </c>
      <c r="O85" s="35" t="str">
        <f t="shared" si="5"/>
        <v/>
      </c>
      <c r="P85" s="33" t="e">
        <f t="shared" si="6"/>
        <v>#REF!</v>
      </c>
      <c r="Q85" s="2"/>
      <c r="R85" s="2"/>
      <c r="S85" s="2"/>
      <c r="T85" s="2"/>
      <c r="U85" s="2"/>
    </row>
    <row r="86" spans="1:21" ht="12.75" customHeight="1" x14ac:dyDescent="0.2">
      <c r="A86" s="2"/>
      <c r="B86" s="31"/>
      <c r="C86" s="32" t="str">
        <f>IFERROR((IF(B86="","",IF($F$6="","Informar UF / Tabela / Prazo de Pagamento",IF($F$9="","Informar UF / Tabela / Prazo de Pagamento",IF($C$9="","Informar UF / Tabela / Prazo de Pagamento",VLOOKUP(B86,'Tabela 130 '!$A$5:$T$1001,2,FALSE)))))),"REF. NÃO CADASTRADA NA TABELA")</f>
        <v/>
      </c>
      <c r="D86" s="33" t="str">
        <f>IF('FOLHA DE PEDIDO '!B86="","",IF(C86="REF. NÃO CADASTRADA NA TABELA","",VLOOKUP(B86,'Tabela 130 '!$A$5:$AI$801,3,FALSE)))</f>
        <v/>
      </c>
      <c r="E86" s="34"/>
      <c r="F86" s="34"/>
      <c r="G86" s="35" t="str">
        <f>IFERROR(IF(C86="REF. NÃO CADASTRADA NA TABELA","",IF($C$9="","",IF($F$9="","",IF(B86="","",IF($C$9=119,VLOOKUP(B86,'Tabela 130 '!$A$5:$T$2711,MATCH($F$9,'Tabela 130 '!$A$5:$T$5,0),FALSE),IF($C$9=553,VLOOKUP(B86,#REF!,MATCH($F$9,#REF!,0),FALSE),IF($C$9=552,VLOOKUP(B86,#REF!,MATCH($F$9,#REF!,0),FALSE),IF($C$9=551,VLOOKUP(B86,#REF!,MATCH($F$9,#REF!,0),FALSE))))))))),"REF. NÃO CADASTRADA NA TABELA")</f>
        <v/>
      </c>
      <c r="H86" s="36"/>
      <c r="I86" s="37" t="str">
        <f t="shared" si="0"/>
        <v/>
      </c>
      <c r="J86" s="33" t="str">
        <f t="shared" si="1"/>
        <v/>
      </c>
      <c r="K86" s="38" t="str">
        <f>IF($F$6="","",IF(B86="","",IF(C86="REF. NÃO CADASTRADA NA TABELA","",IFERROR(VLOOKUP(B86,#REF!,VLOOKUP($F$6,'BASE CONTÁBIL'!N:O,2,FALSE),FALSE),0))))</f>
        <v/>
      </c>
      <c r="L86" s="35" t="str">
        <f t="shared" si="2"/>
        <v/>
      </c>
      <c r="M86" s="35" t="str">
        <f t="shared" si="3"/>
        <v/>
      </c>
      <c r="N86" s="35" t="str">
        <f t="shared" si="4"/>
        <v/>
      </c>
      <c r="O86" s="35" t="str">
        <f t="shared" si="5"/>
        <v/>
      </c>
      <c r="P86" s="33" t="e">
        <f t="shared" si="6"/>
        <v>#REF!</v>
      </c>
      <c r="Q86" s="2"/>
      <c r="R86" s="2"/>
      <c r="S86" s="2"/>
      <c r="T86" s="2"/>
      <c r="U86" s="2"/>
    </row>
    <row r="87" spans="1:21" ht="12.75" customHeight="1" x14ac:dyDescent="0.2">
      <c r="A87" s="2"/>
      <c r="B87" s="31"/>
      <c r="C87" s="32" t="str">
        <f>IFERROR((IF(B87="","",IF($F$6="","Informar UF / Tabela / Prazo de Pagamento",IF($F$9="","Informar UF / Tabela / Prazo de Pagamento",IF($C$9="","Informar UF / Tabela / Prazo de Pagamento",VLOOKUP(B87,'Tabela 130 '!$A$5:$T$1001,2,FALSE)))))),"REF. NÃO CADASTRADA NA TABELA")</f>
        <v/>
      </c>
      <c r="D87" s="33" t="str">
        <f>IF('FOLHA DE PEDIDO '!B87="","",IF(C87="REF. NÃO CADASTRADA NA TABELA","",VLOOKUP(B87,'Tabela 130 '!$A$5:$AI$801,3,FALSE)))</f>
        <v/>
      </c>
      <c r="E87" s="34"/>
      <c r="F87" s="34"/>
      <c r="G87" s="35" t="str">
        <f>IFERROR(IF(C87="REF. NÃO CADASTRADA NA TABELA","",IF($C$9="","",IF($F$9="","",IF(B87="","",IF($C$9=119,VLOOKUP(B87,'Tabela 130 '!$A$5:$T$2711,MATCH($F$9,'Tabela 130 '!$A$5:$T$5,0),FALSE),IF($C$9=553,VLOOKUP(B87,#REF!,MATCH($F$9,#REF!,0),FALSE),IF($C$9=552,VLOOKUP(B87,#REF!,MATCH($F$9,#REF!,0),FALSE),IF($C$9=551,VLOOKUP(B87,#REF!,MATCH($F$9,#REF!,0),FALSE))))))))),"REF. NÃO CADASTRADA NA TABELA")</f>
        <v/>
      </c>
      <c r="H87" s="36"/>
      <c r="I87" s="37" t="str">
        <f t="shared" si="0"/>
        <v/>
      </c>
      <c r="J87" s="33" t="str">
        <f t="shared" si="1"/>
        <v/>
      </c>
      <c r="K87" s="38" t="str">
        <f>IF($F$6="","",IF(B87="","",IF(C87="REF. NÃO CADASTRADA NA TABELA","",IFERROR(VLOOKUP(B87,#REF!,VLOOKUP($F$6,'BASE CONTÁBIL'!N:O,2,FALSE),FALSE),0))))</f>
        <v/>
      </c>
      <c r="L87" s="35" t="str">
        <f t="shared" si="2"/>
        <v/>
      </c>
      <c r="M87" s="35" t="str">
        <f t="shared" si="3"/>
        <v/>
      </c>
      <c r="N87" s="35" t="str">
        <f t="shared" si="4"/>
        <v/>
      </c>
      <c r="O87" s="35" t="str">
        <f t="shared" si="5"/>
        <v/>
      </c>
      <c r="P87" s="33" t="e">
        <f t="shared" si="6"/>
        <v>#REF!</v>
      </c>
      <c r="Q87" s="2"/>
      <c r="R87" s="2"/>
      <c r="S87" s="2"/>
      <c r="T87" s="2"/>
      <c r="U87" s="2"/>
    </row>
    <row r="88" spans="1:21" ht="12.75" customHeight="1" x14ac:dyDescent="0.2">
      <c r="A88" s="2"/>
      <c r="B88" s="31"/>
      <c r="C88" s="32" t="str">
        <f>IFERROR((IF(B88="","",IF($F$6="","Informar UF / Tabela / Prazo de Pagamento",IF($F$9="","Informar UF / Tabela / Prazo de Pagamento",IF($C$9="","Informar UF / Tabela / Prazo de Pagamento",VLOOKUP(B88,'Tabela 130 '!$A$5:$T$1001,2,FALSE)))))),"REF. NÃO CADASTRADA NA TABELA")</f>
        <v/>
      </c>
      <c r="D88" s="33" t="str">
        <f>IF('FOLHA DE PEDIDO '!B88="","",IF(C88="REF. NÃO CADASTRADA NA TABELA","",VLOOKUP(B88,'Tabela 130 '!$A$5:$AI$801,3,FALSE)))</f>
        <v/>
      </c>
      <c r="E88" s="34"/>
      <c r="F88" s="34"/>
      <c r="G88" s="35" t="str">
        <f>IFERROR(IF(C88="REF. NÃO CADASTRADA NA TABELA","",IF($C$9="","",IF($F$9="","",IF(B88="","",IF($C$9=119,VLOOKUP(B88,'Tabela 130 '!$A$5:$T$2711,MATCH($F$9,'Tabela 130 '!$A$5:$T$5,0),FALSE),IF($C$9=553,VLOOKUP(B88,#REF!,MATCH($F$9,#REF!,0),FALSE),IF($C$9=552,VLOOKUP(B88,#REF!,MATCH($F$9,#REF!,0),FALSE),IF($C$9=551,VLOOKUP(B88,#REF!,MATCH($F$9,#REF!,0),FALSE))))))))),"REF. NÃO CADASTRADA NA TABELA")</f>
        <v/>
      </c>
      <c r="H88" s="36"/>
      <c r="I88" s="37" t="str">
        <f t="shared" si="0"/>
        <v/>
      </c>
      <c r="J88" s="33" t="str">
        <f t="shared" si="1"/>
        <v/>
      </c>
      <c r="K88" s="38" t="str">
        <f>IF($F$6="","",IF(B88="","",IF(C88="REF. NÃO CADASTRADA NA TABELA","",IFERROR(VLOOKUP(B88,#REF!,VLOOKUP($F$6,'BASE CONTÁBIL'!N:O,2,FALSE),FALSE),0))))</f>
        <v/>
      </c>
      <c r="L88" s="35" t="str">
        <f t="shared" si="2"/>
        <v/>
      </c>
      <c r="M88" s="35" t="str">
        <f t="shared" si="3"/>
        <v/>
      </c>
      <c r="N88" s="35" t="str">
        <f t="shared" si="4"/>
        <v/>
      </c>
      <c r="O88" s="35" t="str">
        <f t="shared" si="5"/>
        <v/>
      </c>
      <c r="P88" s="33" t="e">
        <f t="shared" si="6"/>
        <v>#REF!</v>
      </c>
      <c r="Q88" s="2"/>
      <c r="R88" s="2"/>
      <c r="S88" s="2"/>
      <c r="T88" s="2"/>
      <c r="U88" s="2"/>
    </row>
    <row r="89" spans="1:21" ht="12.75" customHeight="1" x14ac:dyDescent="0.2">
      <c r="A89" s="2"/>
      <c r="B89" s="31"/>
      <c r="C89" s="32" t="str">
        <f>IFERROR((IF(B89="","",IF($F$6="","Informar UF / Tabela / Prazo de Pagamento",IF($F$9="","Informar UF / Tabela / Prazo de Pagamento",IF($C$9="","Informar UF / Tabela / Prazo de Pagamento",VLOOKUP(B89,'Tabela 130 '!$A$5:$T$1001,2,FALSE)))))),"REF. NÃO CADASTRADA NA TABELA")</f>
        <v/>
      </c>
      <c r="D89" s="33" t="str">
        <f>IF('FOLHA DE PEDIDO '!B89="","",IF(C89="REF. NÃO CADASTRADA NA TABELA","",VLOOKUP(B89,'Tabela 130 '!$A$5:$AI$801,3,FALSE)))</f>
        <v/>
      </c>
      <c r="E89" s="34"/>
      <c r="F89" s="34"/>
      <c r="G89" s="35" t="str">
        <f>IFERROR(IF(C89="REF. NÃO CADASTRADA NA TABELA","",IF($C$9="","",IF($F$9="","",IF(B89="","",IF($C$9=119,VLOOKUP(B89,'Tabela 130 '!$A$5:$T$2711,MATCH($F$9,'Tabela 130 '!$A$5:$T$5,0),FALSE),IF($C$9=553,VLOOKUP(B89,#REF!,MATCH($F$9,#REF!,0),FALSE),IF($C$9=552,VLOOKUP(B89,#REF!,MATCH($F$9,#REF!,0),FALSE),IF($C$9=551,VLOOKUP(B89,#REF!,MATCH($F$9,#REF!,0),FALSE))))))))),"REF. NÃO CADASTRADA NA TABELA")</f>
        <v/>
      </c>
      <c r="H89" s="36"/>
      <c r="I89" s="37" t="str">
        <f t="shared" si="0"/>
        <v/>
      </c>
      <c r="J89" s="33" t="str">
        <f t="shared" si="1"/>
        <v/>
      </c>
      <c r="K89" s="38" t="str">
        <f>IF($F$6="","",IF(B89="","",IF(C89="REF. NÃO CADASTRADA NA TABELA","",IFERROR(VLOOKUP(B89,#REF!,VLOOKUP($F$6,'BASE CONTÁBIL'!N:O,2,FALSE),FALSE),0))))</f>
        <v/>
      </c>
      <c r="L89" s="35" t="str">
        <f t="shared" si="2"/>
        <v/>
      </c>
      <c r="M89" s="35" t="str">
        <f t="shared" si="3"/>
        <v/>
      </c>
      <c r="N89" s="35" t="str">
        <f t="shared" si="4"/>
        <v/>
      </c>
      <c r="O89" s="35" t="str">
        <f t="shared" si="5"/>
        <v/>
      </c>
      <c r="P89" s="33" t="e">
        <f t="shared" si="6"/>
        <v>#REF!</v>
      </c>
      <c r="Q89" s="2"/>
      <c r="R89" s="2"/>
      <c r="S89" s="2"/>
      <c r="T89" s="2"/>
      <c r="U89" s="2"/>
    </row>
    <row r="90" spans="1:21" ht="12.75" customHeight="1" x14ac:dyDescent="0.2">
      <c r="A90" s="2"/>
      <c r="B90" s="31"/>
      <c r="C90" s="32" t="str">
        <f>IFERROR((IF(B90="","",IF($F$6="","Informar UF / Tabela / Prazo de Pagamento",IF($F$9="","Informar UF / Tabela / Prazo de Pagamento",IF($C$9="","Informar UF / Tabela / Prazo de Pagamento",VLOOKUP(B90,'Tabela 130 '!$A$5:$T$1001,2,FALSE)))))),"REF. NÃO CADASTRADA NA TABELA")</f>
        <v/>
      </c>
      <c r="D90" s="33" t="str">
        <f>IF('FOLHA DE PEDIDO '!B90="","",IF(C90="REF. NÃO CADASTRADA NA TABELA","",VLOOKUP(B90,'Tabela 130 '!$A$5:$AI$801,3,FALSE)))</f>
        <v/>
      </c>
      <c r="E90" s="34"/>
      <c r="F90" s="34"/>
      <c r="G90" s="35" t="str">
        <f>IFERROR(IF(C90="REF. NÃO CADASTRADA NA TABELA","",IF($C$9="","",IF($F$9="","",IF(B90="","",IF($C$9=119,VLOOKUP(B90,'Tabela 130 '!$A$5:$T$2711,MATCH($F$9,'Tabela 130 '!$A$5:$T$5,0),FALSE),IF($C$9=553,VLOOKUP(B90,#REF!,MATCH($F$9,#REF!,0),FALSE),IF($C$9=552,VLOOKUP(B90,#REF!,MATCH($F$9,#REF!,0),FALSE),IF($C$9=551,VLOOKUP(B90,#REF!,MATCH($F$9,#REF!,0),FALSE))))))))),"REF. NÃO CADASTRADA NA TABELA")</f>
        <v/>
      </c>
      <c r="H90" s="36"/>
      <c r="I90" s="37" t="str">
        <f t="shared" si="0"/>
        <v/>
      </c>
      <c r="J90" s="33" t="str">
        <f t="shared" si="1"/>
        <v/>
      </c>
      <c r="K90" s="38" t="str">
        <f>IF($F$6="","",IF(B90="","",IF(C90="REF. NÃO CADASTRADA NA TABELA","",IFERROR(VLOOKUP(B90,#REF!,VLOOKUP($F$6,'BASE CONTÁBIL'!N:O,2,FALSE),FALSE),0))))</f>
        <v/>
      </c>
      <c r="L90" s="35" t="str">
        <f t="shared" si="2"/>
        <v/>
      </c>
      <c r="M90" s="35" t="str">
        <f t="shared" si="3"/>
        <v/>
      </c>
      <c r="N90" s="35" t="str">
        <f t="shared" si="4"/>
        <v/>
      </c>
      <c r="O90" s="35" t="str">
        <f t="shared" si="5"/>
        <v/>
      </c>
      <c r="P90" s="33" t="e">
        <f t="shared" si="6"/>
        <v>#REF!</v>
      </c>
      <c r="Q90" s="2"/>
      <c r="R90" s="2"/>
      <c r="S90" s="2"/>
      <c r="T90" s="2"/>
      <c r="U90" s="2"/>
    </row>
    <row r="91" spans="1:21" ht="12.75" customHeight="1" x14ac:dyDescent="0.2">
      <c r="A91" s="2"/>
      <c r="B91" s="31"/>
      <c r="C91" s="32" t="str">
        <f>IFERROR((IF(B91="","",IF($F$6="","Informar UF / Tabela / Prazo de Pagamento",IF($F$9="","Informar UF / Tabela / Prazo de Pagamento",IF($C$9="","Informar UF / Tabela / Prazo de Pagamento",VLOOKUP(B91,'Tabela 130 '!$A$5:$T$1001,2,FALSE)))))),"REF. NÃO CADASTRADA NA TABELA")</f>
        <v/>
      </c>
      <c r="D91" s="33" t="str">
        <f>IF('FOLHA DE PEDIDO '!B91="","",IF(C91="REF. NÃO CADASTRADA NA TABELA","",VLOOKUP(B91,'Tabela 130 '!$A$5:$AI$801,3,FALSE)))</f>
        <v/>
      </c>
      <c r="E91" s="34"/>
      <c r="F91" s="34"/>
      <c r="G91" s="35" t="str">
        <f>IFERROR(IF(C91="REF. NÃO CADASTRADA NA TABELA","",IF($C$9="","",IF($F$9="","",IF(B91="","",IF($C$9=119,VLOOKUP(B91,'Tabela 130 '!$A$5:$T$2711,MATCH($F$9,'Tabela 130 '!$A$5:$T$5,0),FALSE),IF($C$9=553,VLOOKUP(B91,#REF!,MATCH($F$9,#REF!,0),FALSE),IF($C$9=552,VLOOKUP(B91,#REF!,MATCH($F$9,#REF!,0),FALSE),IF($C$9=551,VLOOKUP(B91,#REF!,MATCH($F$9,#REF!,0),FALSE))))))))),"REF. NÃO CADASTRADA NA TABELA")</f>
        <v/>
      </c>
      <c r="H91" s="36"/>
      <c r="I91" s="37" t="str">
        <f t="shared" si="0"/>
        <v/>
      </c>
      <c r="J91" s="33" t="str">
        <f t="shared" si="1"/>
        <v/>
      </c>
      <c r="K91" s="38" t="str">
        <f>IF($F$6="","",IF(B91="","",IF(C91="REF. NÃO CADASTRADA NA TABELA","",IFERROR(VLOOKUP(B91,#REF!,VLOOKUP($F$6,'BASE CONTÁBIL'!N:O,2,FALSE),FALSE),0))))</f>
        <v/>
      </c>
      <c r="L91" s="35" t="str">
        <f t="shared" si="2"/>
        <v/>
      </c>
      <c r="M91" s="35" t="str">
        <f t="shared" si="3"/>
        <v/>
      </c>
      <c r="N91" s="35" t="str">
        <f t="shared" si="4"/>
        <v/>
      </c>
      <c r="O91" s="35" t="str">
        <f t="shared" si="5"/>
        <v/>
      </c>
      <c r="P91" s="33" t="e">
        <f t="shared" si="6"/>
        <v>#REF!</v>
      </c>
      <c r="Q91" s="2"/>
      <c r="R91" s="2"/>
      <c r="S91" s="2"/>
      <c r="T91" s="2"/>
      <c r="U91" s="2"/>
    </row>
    <row r="92" spans="1:21" ht="12.75" customHeight="1" x14ac:dyDescent="0.2">
      <c r="A92" s="2"/>
      <c r="B92" s="31"/>
      <c r="C92" s="32" t="str">
        <f>IFERROR((IF(B92="","",IF($F$6="","Informar UF / Tabela / Prazo de Pagamento",IF($F$9="","Informar UF / Tabela / Prazo de Pagamento",IF($C$9="","Informar UF / Tabela / Prazo de Pagamento",VLOOKUP(B92,'Tabela 130 '!$A$5:$T$1001,2,FALSE)))))),"REF. NÃO CADASTRADA NA TABELA")</f>
        <v/>
      </c>
      <c r="D92" s="33" t="str">
        <f>IF('FOLHA DE PEDIDO '!B92="","",IF(C92="REF. NÃO CADASTRADA NA TABELA","",VLOOKUP(B92,'Tabela 130 '!$A$5:$AI$801,3,FALSE)))</f>
        <v/>
      </c>
      <c r="E92" s="34"/>
      <c r="F92" s="34"/>
      <c r="G92" s="35" t="str">
        <f>IFERROR(IF(C92="REF. NÃO CADASTRADA NA TABELA","",IF($C$9="","",IF($F$9="","",IF(B92="","",IF($C$9=119,VLOOKUP(B92,'Tabela 130 '!$A$5:$T$2711,MATCH($F$9,'Tabela 130 '!$A$5:$T$5,0),FALSE),IF($C$9=553,VLOOKUP(B92,#REF!,MATCH($F$9,#REF!,0),FALSE),IF($C$9=552,VLOOKUP(B92,#REF!,MATCH($F$9,#REF!,0),FALSE),IF($C$9=551,VLOOKUP(B92,#REF!,MATCH($F$9,#REF!,0),FALSE))))))))),"REF. NÃO CADASTRADA NA TABELA")</f>
        <v/>
      </c>
      <c r="H92" s="36"/>
      <c r="I92" s="37" t="str">
        <f t="shared" si="0"/>
        <v/>
      </c>
      <c r="J92" s="33" t="str">
        <f t="shared" si="1"/>
        <v/>
      </c>
      <c r="K92" s="38" t="str">
        <f>IF($F$6="","",IF(B92="","",IF(C92="REF. NÃO CADASTRADA NA TABELA","",IFERROR(VLOOKUP(B92,#REF!,VLOOKUP($F$6,'BASE CONTÁBIL'!N:O,2,FALSE),FALSE),0))))</f>
        <v/>
      </c>
      <c r="L92" s="35" t="str">
        <f t="shared" si="2"/>
        <v/>
      </c>
      <c r="M92" s="35" t="str">
        <f t="shared" si="3"/>
        <v/>
      </c>
      <c r="N92" s="35" t="str">
        <f t="shared" si="4"/>
        <v/>
      </c>
      <c r="O92" s="35" t="str">
        <f t="shared" si="5"/>
        <v/>
      </c>
      <c r="P92" s="33" t="e">
        <f t="shared" si="6"/>
        <v>#REF!</v>
      </c>
      <c r="Q92" s="2"/>
      <c r="R92" s="2"/>
      <c r="S92" s="2"/>
      <c r="T92" s="2"/>
      <c r="U92" s="2"/>
    </row>
    <row r="93" spans="1:21" ht="12.75" customHeight="1" x14ac:dyDescent="0.2">
      <c r="A93" s="2"/>
      <c r="B93" s="31"/>
      <c r="C93" s="32" t="str">
        <f>IFERROR((IF(B93="","",IF($F$6="","Informar UF / Tabela / Prazo de Pagamento",IF($F$9="","Informar UF / Tabela / Prazo de Pagamento",IF($C$9="","Informar UF / Tabela / Prazo de Pagamento",VLOOKUP(B93,'Tabela 130 '!$A$5:$T$1001,2,FALSE)))))),"REF. NÃO CADASTRADA NA TABELA")</f>
        <v/>
      </c>
      <c r="D93" s="33" t="str">
        <f>IF('FOLHA DE PEDIDO '!B93="","",IF(C93="REF. NÃO CADASTRADA NA TABELA","",VLOOKUP(B93,'Tabela 130 '!$A$5:$AI$801,3,FALSE)))</f>
        <v/>
      </c>
      <c r="E93" s="34"/>
      <c r="F93" s="34"/>
      <c r="G93" s="35" t="str">
        <f>IFERROR(IF(C93="REF. NÃO CADASTRADA NA TABELA","",IF($C$9="","",IF($F$9="","",IF(B93="","",IF($C$9=119,VLOOKUP(B93,'Tabela 130 '!$A$5:$T$2711,MATCH($F$9,'Tabela 130 '!$A$5:$T$5,0),FALSE),IF($C$9=553,VLOOKUP(B93,#REF!,MATCH($F$9,#REF!,0),FALSE),IF($C$9=552,VLOOKUP(B93,#REF!,MATCH($F$9,#REF!,0),FALSE),IF($C$9=551,VLOOKUP(B93,#REF!,MATCH($F$9,#REF!,0),FALSE))))))))),"REF. NÃO CADASTRADA NA TABELA")</f>
        <v/>
      </c>
      <c r="H93" s="36"/>
      <c r="I93" s="37" t="str">
        <f t="shared" si="0"/>
        <v/>
      </c>
      <c r="J93" s="33" t="str">
        <f t="shared" si="1"/>
        <v/>
      </c>
      <c r="K93" s="38" t="str">
        <f>IF($F$6="","",IF(B93="","",IF(C93="REF. NÃO CADASTRADA NA TABELA","",IFERROR(VLOOKUP(B93,#REF!,VLOOKUP($F$6,'BASE CONTÁBIL'!N:O,2,FALSE),FALSE),0))))</f>
        <v/>
      </c>
      <c r="L93" s="35" t="str">
        <f t="shared" si="2"/>
        <v/>
      </c>
      <c r="M93" s="35" t="str">
        <f t="shared" si="3"/>
        <v/>
      </c>
      <c r="N93" s="35" t="str">
        <f t="shared" si="4"/>
        <v/>
      </c>
      <c r="O93" s="35" t="str">
        <f t="shared" si="5"/>
        <v/>
      </c>
      <c r="P93" s="33" t="e">
        <f t="shared" si="6"/>
        <v>#REF!</v>
      </c>
      <c r="Q93" s="2"/>
      <c r="R93" s="2"/>
      <c r="S93" s="2"/>
      <c r="T93" s="2"/>
      <c r="U93" s="2"/>
    </row>
    <row r="94" spans="1:21" ht="12.75" customHeight="1" x14ac:dyDescent="0.2">
      <c r="A94" s="2"/>
      <c r="B94" s="31"/>
      <c r="C94" s="32" t="str">
        <f>IFERROR((IF(B94="","",IF($F$6="","Informar UF / Tabela / Prazo de Pagamento",IF($F$9="","Informar UF / Tabela / Prazo de Pagamento",IF($C$9="","Informar UF / Tabela / Prazo de Pagamento",VLOOKUP(B94,'Tabela 130 '!$A$5:$T$1001,2,FALSE)))))),"REF. NÃO CADASTRADA NA TABELA")</f>
        <v/>
      </c>
      <c r="D94" s="33" t="str">
        <f>IF('FOLHA DE PEDIDO '!B94="","",IF(C94="REF. NÃO CADASTRADA NA TABELA","",VLOOKUP(B94,'Tabela 130 '!$A$5:$AI$801,3,FALSE)))</f>
        <v/>
      </c>
      <c r="E94" s="34"/>
      <c r="F94" s="34"/>
      <c r="G94" s="35" t="str">
        <f>IFERROR(IF(C94="REF. NÃO CADASTRADA NA TABELA","",IF($C$9="","",IF($F$9="","",IF(B94="","",IF($C$9=119,VLOOKUP(B94,'Tabela 130 '!$A$5:$T$2711,MATCH($F$9,'Tabela 130 '!$A$5:$T$5,0),FALSE),IF($C$9=553,VLOOKUP(B94,#REF!,MATCH($F$9,#REF!,0),FALSE),IF($C$9=552,VLOOKUP(B94,#REF!,MATCH($F$9,#REF!,0),FALSE),IF($C$9=551,VLOOKUP(B94,#REF!,MATCH($F$9,#REF!,0),FALSE))))))))),"REF. NÃO CADASTRADA NA TABELA")</f>
        <v/>
      </c>
      <c r="H94" s="36"/>
      <c r="I94" s="37" t="str">
        <f t="shared" si="0"/>
        <v/>
      </c>
      <c r="J94" s="33" t="str">
        <f t="shared" si="1"/>
        <v/>
      </c>
      <c r="K94" s="38" t="str">
        <f>IF($F$6="","",IF(B94="","",IF(C94="REF. NÃO CADASTRADA NA TABELA","",IFERROR(VLOOKUP(B94,#REF!,VLOOKUP($F$6,'BASE CONTÁBIL'!N:O,2,FALSE),FALSE),0))))</f>
        <v/>
      </c>
      <c r="L94" s="35" t="str">
        <f t="shared" si="2"/>
        <v/>
      </c>
      <c r="M94" s="35" t="str">
        <f t="shared" si="3"/>
        <v/>
      </c>
      <c r="N94" s="35" t="str">
        <f t="shared" si="4"/>
        <v/>
      </c>
      <c r="O94" s="35" t="str">
        <f t="shared" si="5"/>
        <v/>
      </c>
      <c r="P94" s="33" t="e">
        <f t="shared" si="6"/>
        <v>#REF!</v>
      </c>
      <c r="Q94" s="2"/>
      <c r="R94" s="2"/>
      <c r="S94" s="2"/>
      <c r="T94" s="2"/>
      <c r="U94" s="2"/>
    </row>
    <row r="95" spans="1:21" ht="12.75" customHeight="1" x14ac:dyDescent="0.2">
      <c r="A95" s="2"/>
      <c r="B95" s="31"/>
      <c r="C95" s="32" t="str">
        <f>IFERROR((IF(B95="","",IF($F$6="","Informar UF / Tabela / Prazo de Pagamento",IF($F$9="","Informar UF / Tabela / Prazo de Pagamento",IF($C$9="","Informar UF / Tabela / Prazo de Pagamento",VLOOKUP(B95,'Tabela 130 '!$A$5:$T$1001,2,FALSE)))))),"REF. NÃO CADASTRADA NA TABELA")</f>
        <v/>
      </c>
      <c r="D95" s="33" t="str">
        <f>IF('FOLHA DE PEDIDO '!B95="","",IF(C95="REF. NÃO CADASTRADA NA TABELA","",VLOOKUP(B95,'Tabela 130 '!$A$5:$AI$801,3,FALSE)))</f>
        <v/>
      </c>
      <c r="E95" s="34"/>
      <c r="F95" s="34"/>
      <c r="G95" s="35" t="str">
        <f>IFERROR(IF(C95="REF. NÃO CADASTRADA NA TABELA","",IF($C$9="","",IF($F$9="","",IF(B95="","",IF($C$9=119,VLOOKUP(B95,'Tabela 130 '!$A$5:$T$2711,MATCH($F$9,'Tabela 130 '!$A$5:$T$5,0),FALSE),IF($C$9=553,VLOOKUP(B95,#REF!,MATCH($F$9,#REF!,0),FALSE),IF($C$9=552,VLOOKUP(B95,#REF!,MATCH($F$9,#REF!,0),FALSE),IF($C$9=551,VLOOKUP(B95,#REF!,MATCH($F$9,#REF!,0),FALSE))))))))),"REF. NÃO CADASTRADA NA TABELA")</f>
        <v/>
      </c>
      <c r="H95" s="36"/>
      <c r="I95" s="37" t="str">
        <f t="shared" si="0"/>
        <v/>
      </c>
      <c r="J95" s="33" t="str">
        <f t="shared" si="1"/>
        <v/>
      </c>
      <c r="K95" s="38" t="str">
        <f>IF($F$6="","",IF(B95="","",IF(C95="REF. NÃO CADASTRADA NA TABELA","",IFERROR(VLOOKUP(B95,#REF!,VLOOKUP($F$6,'BASE CONTÁBIL'!N:O,2,FALSE),FALSE),0))))</f>
        <v/>
      </c>
      <c r="L95" s="35" t="str">
        <f t="shared" si="2"/>
        <v/>
      </c>
      <c r="M95" s="35" t="str">
        <f t="shared" si="3"/>
        <v/>
      </c>
      <c r="N95" s="35" t="str">
        <f t="shared" si="4"/>
        <v/>
      </c>
      <c r="O95" s="35" t="str">
        <f t="shared" si="5"/>
        <v/>
      </c>
      <c r="P95" s="33" t="e">
        <f t="shared" si="6"/>
        <v>#REF!</v>
      </c>
      <c r="Q95" s="2"/>
      <c r="R95" s="2"/>
      <c r="S95" s="2"/>
      <c r="T95" s="2"/>
      <c r="U95" s="2"/>
    </row>
    <row r="96" spans="1:21" ht="12.75" customHeight="1" x14ac:dyDescent="0.2">
      <c r="A96" s="2"/>
      <c r="B96" s="31"/>
      <c r="C96" s="32" t="str">
        <f>IFERROR((IF(B96="","",IF($F$6="","Informar UF / Tabela / Prazo de Pagamento",IF($F$9="","Informar UF / Tabela / Prazo de Pagamento",IF($C$9="","Informar UF / Tabela / Prazo de Pagamento",VLOOKUP(B96,'Tabela 130 '!$A$5:$T$1001,2,FALSE)))))),"REF. NÃO CADASTRADA NA TABELA")</f>
        <v/>
      </c>
      <c r="D96" s="33" t="str">
        <f>IF('FOLHA DE PEDIDO '!B96="","",IF(C96="REF. NÃO CADASTRADA NA TABELA","",VLOOKUP(B96,'Tabela 130 '!$A$5:$AI$801,3,FALSE)))</f>
        <v/>
      </c>
      <c r="E96" s="34"/>
      <c r="F96" s="34"/>
      <c r="G96" s="35" t="str">
        <f>IFERROR(IF(C96="REF. NÃO CADASTRADA NA TABELA","",IF($C$9="","",IF($F$9="","",IF(B96="","",IF($C$9=119,VLOOKUP(B96,'Tabela 130 '!$A$5:$T$2711,MATCH($F$9,'Tabela 130 '!$A$5:$T$5,0),FALSE),IF($C$9=553,VLOOKUP(B96,#REF!,MATCH($F$9,#REF!,0),FALSE),IF($C$9=552,VLOOKUP(B96,#REF!,MATCH($F$9,#REF!,0),FALSE),IF($C$9=551,VLOOKUP(B96,#REF!,MATCH($F$9,#REF!,0),FALSE))))))))),"REF. NÃO CADASTRADA NA TABELA")</f>
        <v/>
      </c>
      <c r="H96" s="36"/>
      <c r="I96" s="37" t="str">
        <f t="shared" si="0"/>
        <v/>
      </c>
      <c r="J96" s="33" t="str">
        <f t="shared" si="1"/>
        <v/>
      </c>
      <c r="K96" s="38" t="str">
        <f>IF($F$6="","",IF(B96="","",IF(C96="REF. NÃO CADASTRADA NA TABELA","",IFERROR(VLOOKUP(B96,#REF!,VLOOKUP($F$6,'BASE CONTÁBIL'!N:O,2,FALSE),FALSE),0))))</f>
        <v/>
      </c>
      <c r="L96" s="35" t="str">
        <f t="shared" si="2"/>
        <v/>
      </c>
      <c r="M96" s="35" t="str">
        <f t="shared" si="3"/>
        <v/>
      </c>
      <c r="N96" s="35" t="str">
        <f t="shared" si="4"/>
        <v/>
      </c>
      <c r="O96" s="35" t="str">
        <f t="shared" si="5"/>
        <v/>
      </c>
      <c r="P96" s="33" t="e">
        <f t="shared" si="6"/>
        <v>#REF!</v>
      </c>
      <c r="Q96" s="2"/>
      <c r="R96" s="2"/>
      <c r="S96" s="2"/>
      <c r="T96" s="2"/>
      <c r="U96" s="2"/>
    </row>
    <row r="97" spans="1:21" ht="12.75" customHeight="1" x14ac:dyDescent="0.2">
      <c r="A97" s="2"/>
      <c r="B97" s="31"/>
      <c r="C97" s="32" t="str">
        <f>IFERROR((IF(B97="","",IF($F$6="","Informar UF / Tabela / Prazo de Pagamento",IF($F$9="","Informar UF / Tabela / Prazo de Pagamento",IF($C$9="","Informar UF / Tabela / Prazo de Pagamento",VLOOKUP(B97,'Tabela 130 '!$A$5:$T$1001,2,FALSE)))))),"REF. NÃO CADASTRADA NA TABELA")</f>
        <v/>
      </c>
      <c r="D97" s="33" t="str">
        <f>IF('FOLHA DE PEDIDO '!B97="","",IF(C97="REF. NÃO CADASTRADA NA TABELA","",VLOOKUP(B97,'Tabela 130 '!$A$5:$AI$801,3,FALSE)))</f>
        <v/>
      </c>
      <c r="E97" s="34"/>
      <c r="F97" s="34"/>
      <c r="G97" s="35" t="str">
        <f>IFERROR(IF(C97="REF. NÃO CADASTRADA NA TABELA","",IF($C$9="","",IF($F$9="","",IF(B97="","",IF($C$9=119,VLOOKUP(B97,'Tabela 130 '!$A$5:$T$2711,MATCH($F$9,'Tabela 130 '!$A$5:$T$5,0),FALSE),IF($C$9=553,VLOOKUP(B97,#REF!,MATCH($F$9,#REF!,0),FALSE),IF($C$9=552,VLOOKUP(B97,#REF!,MATCH($F$9,#REF!,0),FALSE),IF($C$9=551,VLOOKUP(B97,#REF!,MATCH($F$9,#REF!,0),FALSE))))))))),"REF. NÃO CADASTRADA NA TABELA")</f>
        <v/>
      </c>
      <c r="H97" s="36"/>
      <c r="I97" s="37" t="str">
        <f t="shared" si="0"/>
        <v/>
      </c>
      <c r="J97" s="33" t="str">
        <f t="shared" si="1"/>
        <v/>
      </c>
      <c r="K97" s="38" t="str">
        <f>IF($F$6="","",IF(B97="","",IF(C97="REF. NÃO CADASTRADA NA TABELA","",IFERROR(VLOOKUP(B97,#REF!,VLOOKUP($F$6,'BASE CONTÁBIL'!N:O,2,FALSE),FALSE),0))))</f>
        <v/>
      </c>
      <c r="L97" s="35" t="str">
        <f t="shared" si="2"/>
        <v/>
      </c>
      <c r="M97" s="35" t="str">
        <f t="shared" si="3"/>
        <v/>
      </c>
      <c r="N97" s="35" t="str">
        <f t="shared" si="4"/>
        <v/>
      </c>
      <c r="O97" s="35" t="str">
        <f t="shared" si="5"/>
        <v/>
      </c>
      <c r="P97" s="33" t="e">
        <f t="shared" si="6"/>
        <v>#REF!</v>
      </c>
      <c r="Q97" s="2"/>
      <c r="R97" s="2"/>
      <c r="S97" s="2"/>
      <c r="T97" s="2"/>
      <c r="U97" s="2"/>
    </row>
    <row r="98" spans="1:21" ht="12.75" customHeight="1" x14ac:dyDescent="0.2">
      <c r="A98" s="2"/>
      <c r="B98" s="31"/>
      <c r="C98" s="32" t="str">
        <f>IFERROR((IF(B98="","",IF($F$6="","Informar UF / Tabela / Prazo de Pagamento",IF($F$9="","Informar UF / Tabela / Prazo de Pagamento",IF($C$9="","Informar UF / Tabela / Prazo de Pagamento",VLOOKUP(B98,'Tabela 130 '!$A$5:$T$1001,2,FALSE)))))),"REF. NÃO CADASTRADA NA TABELA")</f>
        <v/>
      </c>
      <c r="D98" s="33" t="str">
        <f>IF('FOLHA DE PEDIDO '!B98="","",IF(C98="REF. NÃO CADASTRADA NA TABELA","",VLOOKUP(B98,'Tabela 130 '!$A$5:$AI$801,3,FALSE)))</f>
        <v/>
      </c>
      <c r="E98" s="34"/>
      <c r="F98" s="34"/>
      <c r="G98" s="35" t="str">
        <f>IFERROR(IF(C98="REF. NÃO CADASTRADA NA TABELA","",IF($C$9="","",IF($F$9="","",IF(B98="","",IF($C$9=119,VLOOKUP(B98,'Tabela 130 '!$A$5:$T$2711,MATCH($F$9,'Tabela 130 '!$A$5:$T$5,0),FALSE),IF($C$9=553,VLOOKUP(B98,#REF!,MATCH($F$9,#REF!,0),FALSE),IF($C$9=552,VLOOKUP(B98,#REF!,MATCH($F$9,#REF!,0),FALSE),IF($C$9=551,VLOOKUP(B98,#REF!,MATCH($F$9,#REF!,0),FALSE))))))))),"REF. NÃO CADASTRADA NA TABELA")</f>
        <v/>
      </c>
      <c r="H98" s="36"/>
      <c r="I98" s="37" t="str">
        <f t="shared" si="0"/>
        <v/>
      </c>
      <c r="J98" s="33" t="str">
        <f t="shared" si="1"/>
        <v/>
      </c>
      <c r="K98" s="38" t="str">
        <f>IF($F$6="","",IF(B98="","",IF(C98="REF. NÃO CADASTRADA NA TABELA","",IFERROR(VLOOKUP(B98,#REF!,VLOOKUP($F$6,'BASE CONTÁBIL'!N:O,2,FALSE),FALSE),0))))</f>
        <v/>
      </c>
      <c r="L98" s="35" t="str">
        <f t="shared" si="2"/>
        <v/>
      </c>
      <c r="M98" s="35" t="str">
        <f t="shared" si="3"/>
        <v/>
      </c>
      <c r="N98" s="35" t="str">
        <f t="shared" si="4"/>
        <v/>
      </c>
      <c r="O98" s="35" t="str">
        <f t="shared" si="5"/>
        <v/>
      </c>
      <c r="P98" s="33" t="e">
        <f t="shared" si="6"/>
        <v>#REF!</v>
      </c>
      <c r="Q98" s="2"/>
      <c r="R98" s="2"/>
      <c r="S98" s="2"/>
      <c r="T98" s="2"/>
      <c r="U98" s="2"/>
    </row>
    <row r="99" spans="1:21" ht="12.75" customHeight="1" x14ac:dyDescent="0.2">
      <c r="A99" s="2"/>
      <c r="B99" s="31"/>
      <c r="C99" s="32" t="str">
        <f>IFERROR((IF(B99="","",IF($F$6="","Informar UF / Tabela / Prazo de Pagamento",IF($F$9="","Informar UF / Tabela / Prazo de Pagamento",IF($C$9="","Informar UF / Tabela / Prazo de Pagamento",VLOOKUP(B99,'Tabela 130 '!$A$5:$T$1001,2,FALSE)))))),"REF. NÃO CADASTRADA NA TABELA")</f>
        <v/>
      </c>
      <c r="D99" s="33" t="str">
        <f>IF('FOLHA DE PEDIDO '!B99="","",IF(C99="REF. NÃO CADASTRADA NA TABELA","",VLOOKUP(B99,'Tabela 130 '!$A$5:$AI$801,3,FALSE)))</f>
        <v/>
      </c>
      <c r="E99" s="34"/>
      <c r="F99" s="34"/>
      <c r="G99" s="35" t="str">
        <f>IFERROR(IF(C99="REF. NÃO CADASTRADA NA TABELA","",IF($C$9="","",IF($F$9="","",IF(B99="","",IF($C$9=119,VLOOKUP(B99,'Tabela 130 '!$A$5:$T$2711,MATCH($F$9,'Tabela 130 '!$A$5:$T$5,0),FALSE),IF($C$9=553,VLOOKUP(B99,#REF!,MATCH($F$9,#REF!,0),FALSE),IF($C$9=552,VLOOKUP(B99,#REF!,MATCH($F$9,#REF!,0),FALSE),IF($C$9=551,VLOOKUP(B99,#REF!,MATCH($F$9,#REF!,0),FALSE))))))))),"REF. NÃO CADASTRADA NA TABELA")</f>
        <v/>
      </c>
      <c r="H99" s="36"/>
      <c r="I99" s="37" t="str">
        <f t="shared" si="0"/>
        <v/>
      </c>
      <c r="J99" s="33" t="str">
        <f t="shared" si="1"/>
        <v/>
      </c>
      <c r="K99" s="38" t="str">
        <f>IF($F$6="","",IF(B99="","",IF(C99="REF. NÃO CADASTRADA NA TABELA","",IFERROR(VLOOKUP(B99,#REF!,VLOOKUP($F$6,'BASE CONTÁBIL'!N:O,2,FALSE),FALSE),0))))</f>
        <v/>
      </c>
      <c r="L99" s="35" t="str">
        <f t="shared" si="2"/>
        <v/>
      </c>
      <c r="M99" s="35" t="str">
        <f t="shared" si="3"/>
        <v/>
      </c>
      <c r="N99" s="35" t="str">
        <f t="shared" si="4"/>
        <v/>
      </c>
      <c r="O99" s="35" t="str">
        <f t="shared" si="5"/>
        <v/>
      </c>
      <c r="P99" s="33" t="e">
        <f t="shared" si="6"/>
        <v>#REF!</v>
      </c>
      <c r="Q99" s="2"/>
      <c r="R99" s="2"/>
      <c r="S99" s="2"/>
      <c r="T99" s="2"/>
      <c r="U99" s="2"/>
    </row>
    <row r="100" spans="1:21" ht="12.75" customHeight="1" x14ac:dyDescent="0.2">
      <c r="A100" s="2"/>
      <c r="B100" s="31"/>
      <c r="C100" s="32" t="str">
        <f>IFERROR((IF(B100="","",IF($F$6="","Informar UF / Tabela / Prazo de Pagamento",IF($F$9="","Informar UF / Tabela / Prazo de Pagamento",IF($C$9="","Informar UF / Tabela / Prazo de Pagamento",VLOOKUP(B100,'Tabela 130 '!$A$5:$T$1001,2,FALSE)))))),"REF. NÃO CADASTRADA NA TABELA")</f>
        <v/>
      </c>
      <c r="D100" s="33" t="str">
        <f>IF('FOLHA DE PEDIDO '!B100="","",IF(C100="REF. NÃO CADASTRADA NA TABELA","",VLOOKUP(B100,'Tabela 130 '!$A$5:$AI$801,3,FALSE)))</f>
        <v/>
      </c>
      <c r="E100" s="34"/>
      <c r="F100" s="34"/>
      <c r="G100" s="35" t="str">
        <f>IFERROR(IF(C100="REF. NÃO CADASTRADA NA TABELA","",IF($C$9="","",IF($F$9="","",IF(B100="","",IF($C$9=119,VLOOKUP(B100,'Tabela 130 '!$A$5:$T$2711,MATCH($F$9,'Tabela 130 '!$A$5:$T$5,0),FALSE),IF($C$9=553,VLOOKUP(B100,#REF!,MATCH($F$9,#REF!,0),FALSE),IF($C$9=552,VLOOKUP(B100,#REF!,MATCH($F$9,#REF!,0),FALSE),IF($C$9=551,VLOOKUP(B100,#REF!,MATCH($F$9,#REF!,0),FALSE))))))))),"REF. NÃO CADASTRADA NA TABELA")</f>
        <v/>
      </c>
      <c r="H100" s="36"/>
      <c r="I100" s="37" t="str">
        <f t="shared" si="0"/>
        <v/>
      </c>
      <c r="J100" s="33" t="str">
        <f t="shared" si="1"/>
        <v/>
      </c>
      <c r="K100" s="38" t="str">
        <f>IF($F$6="","",IF(B100="","",IF(C100="REF. NÃO CADASTRADA NA TABELA","",IFERROR(VLOOKUP(B100,#REF!,VLOOKUP($F$6,'BASE CONTÁBIL'!N:O,2,FALSE),FALSE),0))))</f>
        <v/>
      </c>
      <c r="L100" s="35" t="str">
        <f t="shared" si="2"/>
        <v/>
      </c>
      <c r="M100" s="35" t="str">
        <f t="shared" si="3"/>
        <v/>
      </c>
      <c r="N100" s="35" t="str">
        <f t="shared" si="4"/>
        <v/>
      </c>
      <c r="O100" s="35" t="str">
        <f t="shared" si="5"/>
        <v/>
      </c>
      <c r="P100" s="33" t="e">
        <f t="shared" si="6"/>
        <v>#REF!</v>
      </c>
      <c r="Q100" s="2"/>
      <c r="R100" s="2"/>
      <c r="S100" s="2"/>
      <c r="T100" s="2"/>
      <c r="U100" s="2"/>
    </row>
    <row r="101" spans="1:21" ht="12.75" customHeight="1" x14ac:dyDescent="0.2">
      <c r="A101" s="2"/>
      <c r="B101" s="31"/>
      <c r="C101" s="32" t="str">
        <f>IFERROR((IF(B101="","",IF($F$6="","Informar UF / Tabela / Prazo de Pagamento",IF($F$9="","Informar UF / Tabela / Prazo de Pagamento",IF($C$9="","Informar UF / Tabela / Prazo de Pagamento",VLOOKUP(B101,'Tabela 130 '!$A$5:$T$1001,2,FALSE)))))),"REF. NÃO CADASTRADA NA TABELA")</f>
        <v/>
      </c>
      <c r="D101" s="33" t="str">
        <f>IF('FOLHA DE PEDIDO '!B101="","",IF(C101="REF. NÃO CADASTRADA NA TABELA","",VLOOKUP(B101,'Tabela 130 '!$A$5:$AI$801,3,FALSE)))</f>
        <v/>
      </c>
      <c r="E101" s="34"/>
      <c r="F101" s="34"/>
      <c r="G101" s="35" t="str">
        <f>IFERROR(IF(C101="REF. NÃO CADASTRADA NA TABELA","",IF($C$9="","",IF($F$9="","",IF(B101="","",IF($C$9=119,VLOOKUP(B101,'Tabela 130 '!$A$5:$T$2711,MATCH($F$9,'Tabela 130 '!$A$5:$T$5,0),FALSE),IF($C$9=553,VLOOKUP(B101,#REF!,MATCH($F$9,#REF!,0),FALSE),IF($C$9=552,VLOOKUP(B101,#REF!,MATCH($F$9,#REF!,0),FALSE),IF($C$9=551,VLOOKUP(B101,#REF!,MATCH($F$9,#REF!,0),FALSE))))))))),"REF. NÃO CADASTRADA NA TABELA")</f>
        <v/>
      </c>
      <c r="H101" s="36"/>
      <c r="I101" s="37" t="str">
        <f t="shared" si="0"/>
        <v/>
      </c>
      <c r="J101" s="33" t="str">
        <f t="shared" si="1"/>
        <v/>
      </c>
      <c r="K101" s="38" t="str">
        <f>IF($F$6="","",IF(B101="","",IF(C101="REF. NÃO CADASTRADA NA TABELA","",IFERROR(VLOOKUP(B101,#REF!,VLOOKUP($F$6,'BASE CONTÁBIL'!N:O,2,FALSE),FALSE),0))))</f>
        <v/>
      </c>
      <c r="L101" s="35" t="str">
        <f t="shared" si="2"/>
        <v/>
      </c>
      <c r="M101" s="35" t="str">
        <f t="shared" si="3"/>
        <v/>
      </c>
      <c r="N101" s="35" t="str">
        <f t="shared" si="4"/>
        <v/>
      </c>
      <c r="O101" s="35" t="str">
        <f t="shared" si="5"/>
        <v/>
      </c>
      <c r="P101" s="33" t="e">
        <f t="shared" si="6"/>
        <v>#REF!</v>
      </c>
      <c r="Q101" s="2"/>
      <c r="R101" s="2"/>
      <c r="S101" s="2"/>
      <c r="T101" s="2"/>
      <c r="U101" s="2"/>
    </row>
    <row r="102" spans="1:21" ht="12.75" customHeight="1" x14ac:dyDescent="0.2">
      <c r="A102" s="2"/>
      <c r="B102" s="31"/>
      <c r="C102" s="32" t="str">
        <f>IFERROR((IF(B102="","",IF($F$6="","Informar UF / Tabela / Prazo de Pagamento",IF($F$9="","Informar UF / Tabela / Prazo de Pagamento",IF($C$9="","Informar UF / Tabela / Prazo de Pagamento",VLOOKUP(B102,'Tabela 130 '!$A$5:$T$1001,2,FALSE)))))),"REF. NÃO CADASTRADA NA TABELA")</f>
        <v/>
      </c>
      <c r="D102" s="33" t="str">
        <f>IF('FOLHA DE PEDIDO '!B102="","",IF(C102="REF. NÃO CADASTRADA NA TABELA","",VLOOKUP(B102,'Tabela 130 '!$A$5:$AI$801,3,FALSE)))</f>
        <v/>
      </c>
      <c r="E102" s="34"/>
      <c r="F102" s="34"/>
      <c r="G102" s="35" t="str">
        <f>IFERROR(IF(C102="REF. NÃO CADASTRADA NA TABELA","",IF($C$9="","",IF($F$9="","",IF(B102="","",IF($C$9=119,VLOOKUP(B102,'Tabela 130 '!$A$5:$T$2711,MATCH($F$9,'Tabela 130 '!$A$5:$T$5,0),FALSE),IF($C$9=553,VLOOKUP(B102,#REF!,MATCH($F$9,#REF!,0),FALSE),IF($C$9=552,VLOOKUP(B102,#REF!,MATCH($F$9,#REF!,0),FALSE),IF($C$9=551,VLOOKUP(B102,#REF!,MATCH($F$9,#REF!,0),FALSE))))))))),"REF. NÃO CADASTRADA NA TABELA")</f>
        <v/>
      </c>
      <c r="H102" s="36"/>
      <c r="I102" s="37" t="str">
        <f t="shared" si="0"/>
        <v/>
      </c>
      <c r="J102" s="33" t="str">
        <f t="shared" si="1"/>
        <v/>
      </c>
      <c r="K102" s="38" t="str">
        <f>IF($F$6="","",IF(B102="","",IF(C102="REF. NÃO CADASTRADA NA TABELA","",IFERROR(VLOOKUP(B102,#REF!,VLOOKUP($F$6,'BASE CONTÁBIL'!N:O,2,FALSE),FALSE),0))))</f>
        <v/>
      </c>
      <c r="L102" s="35" t="str">
        <f t="shared" si="2"/>
        <v/>
      </c>
      <c r="M102" s="35" t="str">
        <f t="shared" si="3"/>
        <v/>
      </c>
      <c r="N102" s="35" t="str">
        <f t="shared" si="4"/>
        <v/>
      </c>
      <c r="O102" s="35" t="str">
        <f t="shared" si="5"/>
        <v/>
      </c>
      <c r="P102" s="33" t="e">
        <f t="shared" si="6"/>
        <v>#REF!</v>
      </c>
      <c r="Q102" s="2"/>
      <c r="R102" s="2"/>
      <c r="S102" s="2"/>
      <c r="T102" s="2"/>
      <c r="U102" s="2"/>
    </row>
    <row r="103" spans="1:21" ht="12.75" customHeight="1" x14ac:dyDescent="0.2">
      <c r="A103" s="2"/>
      <c r="B103" s="31"/>
      <c r="C103" s="32" t="str">
        <f>IFERROR((IF(B103="","",IF($F$6="","Informar UF / Tabela / Prazo de Pagamento",IF($F$9="","Informar UF / Tabela / Prazo de Pagamento",IF($C$9="","Informar UF / Tabela / Prazo de Pagamento",VLOOKUP(B103,'Tabela 130 '!$A$5:$T$1001,2,FALSE)))))),"REF. NÃO CADASTRADA NA TABELA")</f>
        <v/>
      </c>
      <c r="D103" s="33" t="str">
        <f>IF('FOLHA DE PEDIDO '!B103="","",IF(C103="REF. NÃO CADASTRADA NA TABELA","",VLOOKUP(B103,'Tabela 130 '!$A$5:$AI$801,3,FALSE)))</f>
        <v/>
      </c>
      <c r="E103" s="34"/>
      <c r="F103" s="34"/>
      <c r="G103" s="35" t="str">
        <f>IFERROR(IF(C103="REF. NÃO CADASTRADA NA TABELA","",IF($C$9="","",IF($F$9="","",IF(B103="","",IF($C$9=119,VLOOKUP(B103,'Tabela 130 '!$A$5:$T$2711,MATCH($F$9,'Tabela 130 '!$A$5:$T$5,0),FALSE),IF($C$9=553,VLOOKUP(B103,#REF!,MATCH($F$9,#REF!,0),FALSE),IF($C$9=552,VLOOKUP(B103,#REF!,MATCH($F$9,#REF!,0),FALSE),IF($C$9=551,VLOOKUP(B103,#REF!,MATCH($F$9,#REF!,0),FALSE))))))))),"REF. NÃO CADASTRADA NA TABELA")</f>
        <v/>
      </c>
      <c r="H103" s="36"/>
      <c r="I103" s="37" t="str">
        <f t="shared" si="0"/>
        <v/>
      </c>
      <c r="J103" s="33" t="str">
        <f t="shared" si="1"/>
        <v/>
      </c>
      <c r="K103" s="38" t="str">
        <f>IF($F$6="","",IF(B103="","",IF(C103="REF. NÃO CADASTRADA NA TABELA","",IFERROR(VLOOKUP(B103,#REF!,VLOOKUP($F$6,'BASE CONTÁBIL'!N:O,2,FALSE),FALSE),0))))</f>
        <v/>
      </c>
      <c r="L103" s="35" t="str">
        <f t="shared" si="2"/>
        <v/>
      </c>
      <c r="M103" s="35" t="str">
        <f t="shared" si="3"/>
        <v/>
      </c>
      <c r="N103" s="35" t="str">
        <f t="shared" si="4"/>
        <v/>
      </c>
      <c r="O103" s="35" t="str">
        <f t="shared" si="5"/>
        <v/>
      </c>
      <c r="P103" s="33" t="e">
        <f t="shared" si="6"/>
        <v>#REF!</v>
      </c>
      <c r="Q103" s="2"/>
      <c r="R103" s="2"/>
      <c r="S103" s="2"/>
      <c r="T103" s="2"/>
      <c r="U103" s="2"/>
    </row>
    <row r="104" spans="1:21" ht="12.75" customHeight="1" x14ac:dyDescent="0.2">
      <c r="A104" s="2"/>
      <c r="B104" s="31"/>
      <c r="C104" s="32" t="str">
        <f>IFERROR((IF(B104="","",IF($F$6="","Informar UF / Tabela / Prazo de Pagamento",IF($F$9="","Informar UF / Tabela / Prazo de Pagamento",IF($C$9="","Informar UF / Tabela / Prazo de Pagamento",VLOOKUP(B104,'Tabela 130 '!$A$5:$T$1001,2,FALSE)))))),"REF. NÃO CADASTRADA NA TABELA")</f>
        <v/>
      </c>
      <c r="D104" s="33" t="str">
        <f>IF('FOLHA DE PEDIDO '!B104="","",IF(C104="REF. NÃO CADASTRADA NA TABELA","",VLOOKUP(B104,'Tabela 130 '!$A$5:$AI$801,3,FALSE)))</f>
        <v/>
      </c>
      <c r="E104" s="34"/>
      <c r="F104" s="34"/>
      <c r="G104" s="35" t="str">
        <f>IFERROR(IF(C104="REF. NÃO CADASTRADA NA TABELA","",IF($C$9="","",IF($F$9="","",IF(B104="","",IF($C$9=119,VLOOKUP(B104,'Tabela 130 '!$A$5:$T$2711,MATCH($F$9,'Tabela 130 '!$A$5:$T$5,0),FALSE),IF($C$9=553,VLOOKUP(B104,#REF!,MATCH($F$9,#REF!,0),FALSE),IF($C$9=552,VLOOKUP(B104,#REF!,MATCH($F$9,#REF!,0),FALSE),IF($C$9=551,VLOOKUP(B104,#REF!,MATCH($F$9,#REF!,0),FALSE))))))))),"REF. NÃO CADASTRADA NA TABELA")</f>
        <v/>
      </c>
      <c r="H104" s="36"/>
      <c r="I104" s="37" t="str">
        <f t="shared" si="0"/>
        <v/>
      </c>
      <c r="J104" s="33" t="str">
        <f t="shared" si="1"/>
        <v/>
      </c>
      <c r="K104" s="38" t="str">
        <f>IF($F$6="","",IF(B104="","",IF(C104="REF. NÃO CADASTRADA NA TABELA","",IFERROR(VLOOKUP(B104,#REF!,VLOOKUP($F$6,'BASE CONTÁBIL'!N:O,2,FALSE),FALSE),0))))</f>
        <v/>
      </c>
      <c r="L104" s="35" t="str">
        <f t="shared" si="2"/>
        <v/>
      </c>
      <c r="M104" s="35" t="str">
        <f t="shared" si="3"/>
        <v/>
      </c>
      <c r="N104" s="35" t="str">
        <f t="shared" si="4"/>
        <v/>
      </c>
      <c r="O104" s="35" t="str">
        <f t="shared" si="5"/>
        <v/>
      </c>
      <c r="P104" s="33" t="e">
        <f t="shared" si="6"/>
        <v>#REF!</v>
      </c>
      <c r="Q104" s="2"/>
      <c r="R104" s="2"/>
      <c r="S104" s="2"/>
      <c r="T104" s="2"/>
      <c r="U104" s="2"/>
    </row>
    <row r="105" spans="1:21" ht="12.75" customHeight="1" x14ac:dyDescent="0.2">
      <c r="A105" s="2"/>
      <c r="B105" s="31"/>
      <c r="C105" s="32" t="str">
        <f>IFERROR((IF(B105="","",IF($F$6="","Informar UF / Tabela / Prazo de Pagamento",IF($F$9="","Informar UF / Tabela / Prazo de Pagamento",IF($C$9="","Informar UF / Tabela / Prazo de Pagamento",VLOOKUP(B105,'Tabela 130 '!$A$5:$T$1001,2,FALSE)))))),"REF. NÃO CADASTRADA NA TABELA")</f>
        <v/>
      </c>
      <c r="D105" s="33" t="str">
        <f>IF('FOLHA DE PEDIDO '!B105="","",IF(C105="REF. NÃO CADASTRADA NA TABELA","",VLOOKUP(B105,'Tabela 130 '!$A$5:$AI$801,3,FALSE)))</f>
        <v/>
      </c>
      <c r="E105" s="34"/>
      <c r="F105" s="34"/>
      <c r="G105" s="35" t="str">
        <f>IFERROR(IF(C105="REF. NÃO CADASTRADA NA TABELA","",IF($C$9="","",IF($F$9="","",IF(B105="","",IF($C$9=119,VLOOKUP(B105,'Tabela 130 '!$A$5:$T$2711,MATCH($F$9,'Tabela 130 '!$A$5:$T$5,0),FALSE),IF($C$9=553,VLOOKUP(B105,#REF!,MATCH($F$9,#REF!,0),FALSE),IF($C$9=552,VLOOKUP(B105,#REF!,MATCH($F$9,#REF!,0),FALSE),IF($C$9=551,VLOOKUP(B105,#REF!,MATCH($F$9,#REF!,0),FALSE))))))))),"REF. NÃO CADASTRADA NA TABELA")</f>
        <v/>
      </c>
      <c r="H105" s="36"/>
      <c r="I105" s="37" t="str">
        <f t="shared" si="0"/>
        <v/>
      </c>
      <c r="J105" s="33" t="str">
        <f t="shared" si="1"/>
        <v/>
      </c>
      <c r="K105" s="38" t="str">
        <f>IF($F$6="","",IF(B105="","",IF(C105="REF. NÃO CADASTRADA NA TABELA","",IFERROR(VLOOKUP(B105,#REF!,VLOOKUP($F$6,'BASE CONTÁBIL'!N:O,2,FALSE),FALSE),0))))</f>
        <v/>
      </c>
      <c r="L105" s="35" t="str">
        <f t="shared" si="2"/>
        <v/>
      </c>
      <c r="M105" s="35" t="str">
        <f t="shared" si="3"/>
        <v/>
      </c>
      <c r="N105" s="35" t="str">
        <f t="shared" si="4"/>
        <v/>
      </c>
      <c r="O105" s="35" t="str">
        <f t="shared" si="5"/>
        <v/>
      </c>
      <c r="P105" s="33" t="e">
        <f t="shared" si="6"/>
        <v>#REF!</v>
      </c>
      <c r="Q105" s="2"/>
      <c r="R105" s="2"/>
      <c r="S105" s="2"/>
      <c r="T105" s="2"/>
      <c r="U105" s="2"/>
    </row>
    <row r="106" spans="1:21" ht="12.75" customHeight="1" x14ac:dyDescent="0.2">
      <c r="A106" s="2"/>
      <c r="B106" s="31"/>
      <c r="C106" s="32" t="str">
        <f>IFERROR((IF(B106="","",IF($F$6="","Informar UF / Tabela / Prazo de Pagamento",IF($F$9="","Informar UF / Tabela / Prazo de Pagamento",IF($C$9="","Informar UF / Tabela / Prazo de Pagamento",VLOOKUP(B106,'Tabela 130 '!$A$5:$T$1001,2,FALSE)))))),"REF. NÃO CADASTRADA NA TABELA")</f>
        <v/>
      </c>
      <c r="D106" s="33" t="str">
        <f>IF('FOLHA DE PEDIDO '!B106="","",IF(C106="REF. NÃO CADASTRADA NA TABELA","",VLOOKUP(B106,'Tabela 130 '!$A$5:$AI$801,3,FALSE)))</f>
        <v/>
      </c>
      <c r="E106" s="34"/>
      <c r="F106" s="34"/>
      <c r="G106" s="35" t="str">
        <f>IFERROR(IF(C106="REF. NÃO CADASTRADA NA TABELA","",IF($C$9="","",IF($F$9="","",IF(B106="","",IF($C$9=119,VLOOKUP(B106,'Tabela 130 '!$A$5:$T$2711,MATCH($F$9,'Tabela 130 '!$A$5:$T$5,0),FALSE),IF($C$9=553,VLOOKUP(B106,#REF!,MATCH($F$9,#REF!,0),FALSE),IF($C$9=552,VLOOKUP(B106,#REF!,MATCH($F$9,#REF!,0),FALSE),IF($C$9=551,VLOOKUP(B106,#REF!,MATCH($F$9,#REF!,0),FALSE))))))))),"REF. NÃO CADASTRADA NA TABELA")</f>
        <v/>
      </c>
      <c r="H106" s="36"/>
      <c r="I106" s="37" t="str">
        <f t="shared" si="0"/>
        <v/>
      </c>
      <c r="J106" s="33" t="str">
        <f t="shared" si="1"/>
        <v/>
      </c>
      <c r="K106" s="38" t="str">
        <f>IF($F$6="","",IF(B106="","",IF(C106="REF. NÃO CADASTRADA NA TABELA","",IFERROR(VLOOKUP(B106,#REF!,VLOOKUP($F$6,'BASE CONTÁBIL'!N:O,2,FALSE),FALSE),0))))</f>
        <v/>
      </c>
      <c r="L106" s="35" t="str">
        <f t="shared" si="2"/>
        <v/>
      </c>
      <c r="M106" s="35" t="str">
        <f t="shared" si="3"/>
        <v/>
      </c>
      <c r="N106" s="35" t="str">
        <f t="shared" si="4"/>
        <v/>
      </c>
      <c r="O106" s="35" t="str">
        <f t="shared" si="5"/>
        <v/>
      </c>
      <c r="P106" s="33" t="e">
        <f t="shared" si="6"/>
        <v>#REF!</v>
      </c>
      <c r="Q106" s="2"/>
      <c r="R106" s="2"/>
      <c r="S106" s="2"/>
      <c r="T106" s="2"/>
      <c r="U106" s="2"/>
    </row>
    <row r="107" spans="1:21" ht="12.75" customHeight="1" x14ac:dyDescent="0.2">
      <c r="A107" s="2"/>
      <c r="B107" s="31"/>
      <c r="C107" s="32" t="str">
        <f>IFERROR((IF(B107="","",IF($F$6="","Informar UF / Tabela / Prazo de Pagamento",IF($F$9="","Informar UF / Tabela / Prazo de Pagamento",IF($C$9="","Informar UF / Tabela / Prazo de Pagamento",VLOOKUP(B107,'Tabela 130 '!$A$5:$T$1001,2,FALSE)))))),"REF. NÃO CADASTRADA NA TABELA")</f>
        <v/>
      </c>
      <c r="D107" s="33" t="str">
        <f>IF('FOLHA DE PEDIDO '!B107="","",IF(C107="REF. NÃO CADASTRADA NA TABELA","",VLOOKUP(B107,'Tabela 130 '!$A$5:$AI$801,3,FALSE)))</f>
        <v/>
      </c>
      <c r="E107" s="34"/>
      <c r="F107" s="34"/>
      <c r="G107" s="35" t="str">
        <f>IFERROR(IF(C107="REF. NÃO CADASTRADA NA TABELA","",IF($C$9="","",IF($F$9="","",IF(B107="","",IF($C$9=119,VLOOKUP(B107,'Tabela 130 '!$A$5:$T$2711,MATCH($F$9,'Tabela 130 '!$A$5:$T$5,0),FALSE),IF($C$9=553,VLOOKUP(B107,#REF!,MATCH($F$9,#REF!,0),FALSE),IF($C$9=552,VLOOKUP(B107,#REF!,MATCH($F$9,#REF!,0),FALSE),IF($C$9=551,VLOOKUP(B107,#REF!,MATCH($F$9,#REF!,0),FALSE))))))))),"REF. NÃO CADASTRADA NA TABELA")</f>
        <v/>
      </c>
      <c r="H107" s="36"/>
      <c r="I107" s="37" t="str">
        <f t="shared" si="0"/>
        <v/>
      </c>
      <c r="J107" s="33" t="str">
        <f t="shared" si="1"/>
        <v/>
      </c>
      <c r="K107" s="38" t="str">
        <f>IF($F$6="","",IF(B107="","",IF(C107="REF. NÃO CADASTRADA NA TABELA","",IFERROR(VLOOKUP(B107,#REF!,VLOOKUP($F$6,'BASE CONTÁBIL'!N:O,2,FALSE),FALSE),0))))</f>
        <v/>
      </c>
      <c r="L107" s="35" t="str">
        <f t="shared" si="2"/>
        <v/>
      </c>
      <c r="M107" s="35" t="str">
        <f t="shared" si="3"/>
        <v/>
      </c>
      <c r="N107" s="35" t="str">
        <f t="shared" si="4"/>
        <v/>
      </c>
      <c r="O107" s="35" t="str">
        <f t="shared" si="5"/>
        <v/>
      </c>
      <c r="P107" s="33" t="e">
        <f t="shared" si="6"/>
        <v>#REF!</v>
      </c>
      <c r="Q107" s="2"/>
      <c r="R107" s="2"/>
      <c r="S107" s="2"/>
      <c r="T107" s="2"/>
      <c r="U107" s="2"/>
    </row>
    <row r="108" spans="1:21" ht="12.75" customHeight="1" x14ac:dyDescent="0.2">
      <c r="A108" s="2"/>
      <c r="B108" s="31"/>
      <c r="C108" s="32" t="str">
        <f>IFERROR((IF(B108="","",IF($F$6="","Informar UF / Tabela / Prazo de Pagamento",IF($F$9="","Informar UF / Tabela / Prazo de Pagamento",IF($C$9="","Informar UF / Tabela / Prazo de Pagamento",VLOOKUP(B108,'Tabela 130 '!$A$5:$T$1001,2,FALSE)))))),"REF. NÃO CADASTRADA NA TABELA")</f>
        <v/>
      </c>
      <c r="D108" s="33" t="str">
        <f>IF('FOLHA DE PEDIDO '!B108="","",IF(C108="REF. NÃO CADASTRADA NA TABELA","",VLOOKUP(B108,'Tabela 130 '!$A$5:$AI$801,3,FALSE)))</f>
        <v/>
      </c>
      <c r="E108" s="34"/>
      <c r="F108" s="34"/>
      <c r="G108" s="35" t="str">
        <f>IFERROR(IF(C108="REF. NÃO CADASTRADA NA TABELA","",IF($C$9="","",IF($F$9="","",IF(B108="","",IF($C$9=119,VLOOKUP(B108,'Tabela 130 '!$A$5:$T$2711,MATCH($F$9,'Tabela 130 '!$A$5:$T$5,0),FALSE),IF($C$9=553,VLOOKUP(B108,#REF!,MATCH($F$9,#REF!,0),FALSE),IF($C$9=552,VLOOKUP(B108,#REF!,MATCH($F$9,#REF!,0),FALSE),IF($C$9=551,VLOOKUP(B108,#REF!,MATCH($F$9,#REF!,0),FALSE))))))))),"REF. NÃO CADASTRADA NA TABELA")</f>
        <v/>
      </c>
      <c r="H108" s="36"/>
      <c r="I108" s="37" t="str">
        <f t="shared" si="0"/>
        <v/>
      </c>
      <c r="J108" s="33" t="str">
        <f t="shared" si="1"/>
        <v/>
      </c>
      <c r="K108" s="38" t="str">
        <f>IF($F$6="","",IF(B108="","",IF(C108="REF. NÃO CADASTRADA NA TABELA","",IFERROR(VLOOKUP(B108,#REF!,VLOOKUP($F$6,'BASE CONTÁBIL'!N:O,2,FALSE),FALSE),0))))</f>
        <v/>
      </c>
      <c r="L108" s="35" t="str">
        <f t="shared" si="2"/>
        <v/>
      </c>
      <c r="M108" s="35" t="str">
        <f t="shared" si="3"/>
        <v/>
      </c>
      <c r="N108" s="35" t="str">
        <f t="shared" si="4"/>
        <v/>
      </c>
      <c r="O108" s="35" t="str">
        <f t="shared" si="5"/>
        <v/>
      </c>
      <c r="P108" s="33" t="e">
        <f t="shared" si="6"/>
        <v>#REF!</v>
      </c>
      <c r="Q108" s="2"/>
      <c r="R108" s="2"/>
      <c r="S108" s="2"/>
      <c r="T108" s="2"/>
      <c r="U108" s="2"/>
    </row>
    <row r="109" spans="1:21" ht="12.75" customHeight="1" x14ac:dyDescent="0.2">
      <c r="A109" s="2"/>
      <c r="B109" s="31"/>
      <c r="C109" s="32" t="str">
        <f>IFERROR((IF(B109="","",IF($F$6="","Informar UF / Tabela / Prazo de Pagamento",IF($F$9="","Informar UF / Tabela / Prazo de Pagamento",IF($C$9="","Informar UF / Tabela / Prazo de Pagamento",VLOOKUP(B109,'Tabela 130 '!$A$5:$T$1001,2,FALSE)))))),"REF. NÃO CADASTRADA NA TABELA")</f>
        <v/>
      </c>
      <c r="D109" s="33" t="str">
        <f>IF('FOLHA DE PEDIDO '!B109="","",IF(C109="REF. NÃO CADASTRADA NA TABELA","",VLOOKUP(B109,'Tabela 130 '!$A$5:$AI$801,3,FALSE)))</f>
        <v/>
      </c>
      <c r="E109" s="34"/>
      <c r="F109" s="34"/>
      <c r="G109" s="35" t="str">
        <f>IFERROR(IF(C109="REF. NÃO CADASTRADA NA TABELA","",IF($C$9="","",IF($F$9="","",IF(B109="","",IF($C$9=119,VLOOKUP(B109,'Tabela 130 '!$A$5:$T$2711,MATCH($F$9,'Tabela 130 '!$A$5:$T$5,0),FALSE),IF($C$9=553,VLOOKUP(B109,#REF!,MATCH($F$9,#REF!,0),FALSE),IF($C$9=552,VLOOKUP(B109,#REF!,MATCH($F$9,#REF!,0),FALSE),IF($C$9=551,VLOOKUP(B109,#REF!,MATCH($F$9,#REF!,0),FALSE))))))))),"REF. NÃO CADASTRADA NA TABELA")</f>
        <v/>
      </c>
      <c r="H109" s="36"/>
      <c r="I109" s="37" t="str">
        <f t="shared" si="0"/>
        <v/>
      </c>
      <c r="J109" s="33" t="str">
        <f t="shared" si="1"/>
        <v/>
      </c>
      <c r="K109" s="38" t="str">
        <f>IF($F$6="","",IF(B109="","",IF(C109="REF. NÃO CADASTRADA NA TABELA","",IFERROR(VLOOKUP(B109,#REF!,VLOOKUP($F$6,'BASE CONTÁBIL'!N:O,2,FALSE),FALSE),0))))</f>
        <v/>
      </c>
      <c r="L109" s="35" t="str">
        <f t="shared" si="2"/>
        <v/>
      </c>
      <c r="M109" s="35" t="str">
        <f t="shared" si="3"/>
        <v/>
      </c>
      <c r="N109" s="35" t="str">
        <f t="shared" si="4"/>
        <v/>
      </c>
      <c r="O109" s="35" t="str">
        <f t="shared" si="5"/>
        <v/>
      </c>
      <c r="P109" s="33" t="e">
        <f t="shared" si="6"/>
        <v>#REF!</v>
      </c>
      <c r="Q109" s="2"/>
      <c r="R109" s="2"/>
      <c r="S109" s="2"/>
      <c r="T109" s="2"/>
      <c r="U109" s="2"/>
    </row>
    <row r="110" spans="1:21" ht="12.75" customHeight="1" x14ac:dyDescent="0.2">
      <c r="A110" s="2"/>
      <c r="B110" s="31"/>
      <c r="C110" s="32" t="str">
        <f>IFERROR((IF(B110="","",IF($F$6="","Informar UF / Tabela / Prazo de Pagamento",IF($F$9="","Informar UF / Tabela / Prazo de Pagamento",IF($C$9="","Informar UF / Tabela / Prazo de Pagamento",VLOOKUP(B110,'Tabela 130 '!$A$5:$T$1001,2,FALSE)))))),"REF. NÃO CADASTRADA NA TABELA")</f>
        <v/>
      </c>
      <c r="D110" s="33" t="str">
        <f>IF('FOLHA DE PEDIDO '!B110="","",IF(C110="REF. NÃO CADASTRADA NA TABELA","",VLOOKUP(B110,'Tabela 130 '!$A$5:$AI$801,3,FALSE)))</f>
        <v/>
      </c>
      <c r="E110" s="34"/>
      <c r="F110" s="34"/>
      <c r="G110" s="35" t="str">
        <f>IFERROR(IF(C110="REF. NÃO CADASTRADA NA TABELA","",IF($C$9="","",IF($F$9="","",IF(B110="","",IF($C$9=119,VLOOKUP(B110,'Tabela 130 '!$A$5:$T$2711,MATCH($F$9,'Tabela 130 '!$A$5:$T$5,0),FALSE),IF($C$9=553,VLOOKUP(B110,#REF!,MATCH($F$9,#REF!,0),FALSE),IF($C$9=552,VLOOKUP(B110,#REF!,MATCH($F$9,#REF!,0),FALSE),IF($C$9=551,VLOOKUP(B110,#REF!,MATCH($F$9,#REF!,0),FALSE))))))))),"REF. NÃO CADASTRADA NA TABELA")</f>
        <v/>
      </c>
      <c r="H110" s="36"/>
      <c r="I110" s="37" t="str">
        <f t="shared" si="0"/>
        <v/>
      </c>
      <c r="J110" s="33" t="str">
        <f t="shared" si="1"/>
        <v/>
      </c>
      <c r="K110" s="38" t="str">
        <f>IF($F$6="","",IF(B110="","",IF(C110="REF. NÃO CADASTRADA NA TABELA","",IFERROR(VLOOKUP(B110,#REF!,VLOOKUP($F$6,'BASE CONTÁBIL'!N:O,2,FALSE),FALSE),0))))</f>
        <v/>
      </c>
      <c r="L110" s="35" t="str">
        <f t="shared" si="2"/>
        <v/>
      </c>
      <c r="M110" s="35" t="str">
        <f t="shared" si="3"/>
        <v/>
      </c>
      <c r="N110" s="35" t="str">
        <f t="shared" si="4"/>
        <v/>
      </c>
      <c r="O110" s="35" t="str">
        <f t="shared" si="5"/>
        <v/>
      </c>
      <c r="P110" s="33" t="e">
        <f t="shared" si="6"/>
        <v>#REF!</v>
      </c>
      <c r="Q110" s="2"/>
      <c r="R110" s="2"/>
      <c r="S110" s="2"/>
      <c r="T110" s="2"/>
      <c r="U110" s="2"/>
    </row>
    <row r="111" spans="1:21" ht="12.75" customHeight="1" x14ac:dyDescent="0.2">
      <c r="A111" s="2"/>
      <c r="B111" s="31"/>
      <c r="C111" s="32" t="str">
        <f>IFERROR((IF(B111="","",IF($F$6="","Informar UF / Tabela / Prazo de Pagamento",IF($F$9="","Informar UF / Tabela / Prazo de Pagamento",IF($C$9="","Informar UF / Tabela / Prazo de Pagamento",VLOOKUP(B111,'Tabela 130 '!$A$5:$T$1001,2,FALSE)))))),"REF. NÃO CADASTRADA NA TABELA")</f>
        <v/>
      </c>
      <c r="D111" s="33" t="str">
        <f>IF('FOLHA DE PEDIDO '!B111="","",IF(C111="REF. NÃO CADASTRADA NA TABELA","",VLOOKUP(B111,'Tabela 130 '!$A$5:$AI$801,3,FALSE)))</f>
        <v/>
      </c>
      <c r="E111" s="34"/>
      <c r="F111" s="34"/>
      <c r="G111" s="35" t="str">
        <f>IFERROR(IF(C111="REF. NÃO CADASTRADA NA TABELA","",IF($C$9="","",IF($F$9="","",IF(B111="","",IF($C$9=119,VLOOKUP(B111,'Tabela 130 '!$A$5:$T$2711,MATCH($F$9,'Tabela 130 '!$A$5:$T$5,0),FALSE),IF($C$9=553,VLOOKUP(B111,#REF!,MATCH($F$9,#REF!,0),FALSE),IF($C$9=552,VLOOKUP(B111,#REF!,MATCH($F$9,#REF!,0),FALSE),IF($C$9=551,VLOOKUP(B111,#REF!,MATCH($F$9,#REF!,0),FALSE))))))))),"REF. NÃO CADASTRADA NA TABELA")</f>
        <v/>
      </c>
      <c r="H111" s="36"/>
      <c r="I111" s="37" t="str">
        <f t="shared" si="0"/>
        <v/>
      </c>
      <c r="J111" s="33" t="str">
        <f t="shared" si="1"/>
        <v/>
      </c>
      <c r="K111" s="38" t="str">
        <f>IF($F$6="","",IF(B111="","",IF(C111="REF. NÃO CADASTRADA NA TABELA","",IFERROR(VLOOKUP(B111,#REF!,VLOOKUP($F$6,'BASE CONTÁBIL'!N:O,2,FALSE),FALSE),0))))</f>
        <v/>
      </c>
      <c r="L111" s="35" t="str">
        <f t="shared" si="2"/>
        <v/>
      </c>
      <c r="M111" s="35" t="str">
        <f t="shared" si="3"/>
        <v/>
      </c>
      <c r="N111" s="35" t="str">
        <f t="shared" si="4"/>
        <v/>
      </c>
      <c r="O111" s="35" t="str">
        <f t="shared" si="5"/>
        <v/>
      </c>
      <c r="P111" s="33" t="e">
        <f t="shared" si="6"/>
        <v>#REF!</v>
      </c>
      <c r="Q111" s="2"/>
      <c r="R111" s="2"/>
      <c r="S111" s="2"/>
      <c r="T111" s="2"/>
      <c r="U111" s="2"/>
    </row>
    <row r="112" spans="1:21" ht="12.75" customHeight="1" x14ac:dyDescent="0.2">
      <c r="A112" s="2"/>
      <c r="B112" s="31"/>
      <c r="C112" s="32" t="str">
        <f>IFERROR((IF(B112="","",IF($F$6="","Informar UF / Tabela / Prazo de Pagamento",IF($F$9="","Informar UF / Tabela / Prazo de Pagamento",IF($C$9="","Informar UF / Tabela / Prazo de Pagamento",VLOOKUP(B112,'Tabela 130 '!$A$5:$T$1001,2,FALSE)))))),"REF. NÃO CADASTRADA NA TABELA")</f>
        <v/>
      </c>
      <c r="D112" s="33" t="str">
        <f>IF('FOLHA DE PEDIDO '!B112="","",IF(C112="REF. NÃO CADASTRADA NA TABELA","",VLOOKUP(B112,'Tabela 130 '!$A$5:$AI$801,3,FALSE)))</f>
        <v/>
      </c>
      <c r="E112" s="34"/>
      <c r="F112" s="34"/>
      <c r="G112" s="35" t="str">
        <f>IFERROR(IF(C112="REF. NÃO CADASTRADA NA TABELA","",IF($C$9="","",IF($F$9="","",IF(B112="","",IF($C$9=119,VLOOKUP(B112,'Tabela 130 '!$A$5:$T$2711,MATCH($F$9,'Tabela 130 '!$A$5:$T$5,0),FALSE),IF($C$9=553,VLOOKUP(B112,#REF!,MATCH($F$9,#REF!,0),FALSE),IF($C$9=552,VLOOKUP(B112,#REF!,MATCH($F$9,#REF!,0),FALSE),IF($C$9=551,VLOOKUP(B112,#REF!,MATCH($F$9,#REF!,0),FALSE))))))))),"REF. NÃO CADASTRADA NA TABELA")</f>
        <v/>
      </c>
      <c r="H112" s="36"/>
      <c r="I112" s="37" t="str">
        <f t="shared" si="0"/>
        <v/>
      </c>
      <c r="J112" s="33" t="str">
        <f t="shared" si="1"/>
        <v/>
      </c>
      <c r="K112" s="38" t="str">
        <f>IF($F$6="","",IF(B112="","",IF(C112="REF. NÃO CADASTRADA NA TABELA","",IFERROR(VLOOKUP(B112,#REF!,VLOOKUP($F$6,'BASE CONTÁBIL'!N:O,2,FALSE),FALSE),0))))</f>
        <v/>
      </c>
      <c r="L112" s="35" t="str">
        <f t="shared" si="2"/>
        <v/>
      </c>
      <c r="M112" s="35" t="str">
        <f t="shared" si="3"/>
        <v/>
      </c>
      <c r="N112" s="35" t="str">
        <f t="shared" si="4"/>
        <v/>
      </c>
      <c r="O112" s="35" t="str">
        <f t="shared" si="5"/>
        <v/>
      </c>
      <c r="P112" s="33" t="e">
        <f t="shared" si="6"/>
        <v>#REF!</v>
      </c>
      <c r="Q112" s="2"/>
      <c r="R112" s="2"/>
      <c r="S112" s="2"/>
      <c r="T112" s="2"/>
      <c r="U112" s="2"/>
    </row>
    <row r="113" spans="1:21" ht="12.75" customHeight="1" x14ac:dyDescent="0.2">
      <c r="A113" s="2"/>
      <c r="B113" s="31"/>
      <c r="C113" s="32" t="str">
        <f>IFERROR((IF(B113="","",IF($F$6="","Informar UF / Tabela / Prazo de Pagamento",IF($F$9="","Informar UF / Tabela / Prazo de Pagamento",IF($C$9="","Informar UF / Tabela / Prazo de Pagamento",VLOOKUP(B113,'Tabela 130 '!$A$5:$T$1001,2,FALSE)))))),"REF. NÃO CADASTRADA NA TABELA")</f>
        <v/>
      </c>
      <c r="D113" s="33" t="str">
        <f>IF('FOLHA DE PEDIDO '!B113="","",IF(C113="REF. NÃO CADASTRADA NA TABELA","",VLOOKUP(B113,'Tabela 130 '!$A$5:$AI$801,3,FALSE)))</f>
        <v/>
      </c>
      <c r="E113" s="34"/>
      <c r="F113" s="34"/>
      <c r="G113" s="35" t="str">
        <f>IFERROR(IF(C113="REF. NÃO CADASTRADA NA TABELA","",IF($C$9="","",IF($F$9="","",IF(B113="","",IF($C$9=119,VLOOKUP(B113,'Tabela 130 '!$A$5:$T$2711,MATCH($F$9,'Tabela 130 '!$A$5:$T$5,0),FALSE),IF($C$9=553,VLOOKUP(B113,#REF!,MATCH($F$9,#REF!,0),FALSE),IF($C$9=552,VLOOKUP(B113,#REF!,MATCH($F$9,#REF!,0),FALSE),IF($C$9=551,VLOOKUP(B113,#REF!,MATCH($F$9,#REF!,0),FALSE))))))))),"REF. NÃO CADASTRADA NA TABELA")</f>
        <v/>
      </c>
      <c r="H113" s="36"/>
      <c r="I113" s="37" t="str">
        <f t="shared" si="0"/>
        <v/>
      </c>
      <c r="J113" s="33" t="str">
        <f t="shared" si="1"/>
        <v/>
      </c>
      <c r="K113" s="38" t="str">
        <f>IF($F$6="","",IF(B113="","",IF(C113="REF. NÃO CADASTRADA NA TABELA","",IFERROR(VLOOKUP(B113,#REF!,VLOOKUP($F$6,'BASE CONTÁBIL'!N:O,2,FALSE),FALSE),0))))</f>
        <v/>
      </c>
      <c r="L113" s="35" t="str">
        <f t="shared" si="2"/>
        <v/>
      </c>
      <c r="M113" s="35" t="str">
        <f t="shared" si="3"/>
        <v/>
      </c>
      <c r="N113" s="35" t="str">
        <f t="shared" si="4"/>
        <v/>
      </c>
      <c r="O113" s="35" t="str">
        <f t="shared" si="5"/>
        <v/>
      </c>
      <c r="P113" s="33" t="e">
        <f t="shared" si="6"/>
        <v>#REF!</v>
      </c>
      <c r="Q113" s="2"/>
      <c r="R113" s="2"/>
      <c r="S113" s="2"/>
      <c r="T113" s="2"/>
      <c r="U113" s="2"/>
    </row>
    <row r="114" spans="1:21" ht="12.75" customHeight="1" x14ac:dyDescent="0.2">
      <c r="A114" s="2"/>
      <c r="B114" s="31"/>
      <c r="C114" s="32" t="str">
        <f>IFERROR((IF(B114="","",IF($F$6="","Informar UF / Tabela / Prazo de Pagamento",IF($F$9="","Informar UF / Tabela / Prazo de Pagamento",IF($C$9="","Informar UF / Tabela / Prazo de Pagamento",VLOOKUP(B114,'Tabela 130 '!$A$5:$T$1001,2,FALSE)))))),"REF. NÃO CADASTRADA NA TABELA")</f>
        <v/>
      </c>
      <c r="D114" s="33" t="str">
        <f>IF('FOLHA DE PEDIDO '!B114="","",IF(C114="REF. NÃO CADASTRADA NA TABELA","",VLOOKUP(B114,'Tabela 130 '!$A$5:$AI$801,3,FALSE)))</f>
        <v/>
      </c>
      <c r="E114" s="34"/>
      <c r="F114" s="34"/>
      <c r="G114" s="35" t="str">
        <f>IFERROR(IF(C114="REF. NÃO CADASTRADA NA TABELA","",IF($C$9="","",IF($F$9="","",IF(B114="","",IF($C$9=119,VLOOKUP(B114,'Tabela 130 '!$A$5:$T$2711,MATCH($F$9,'Tabela 130 '!$A$5:$T$5,0),FALSE),IF($C$9=553,VLOOKUP(B114,#REF!,MATCH($F$9,#REF!,0),FALSE),IF($C$9=552,VLOOKUP(B114,#REF!,MATCH($F$9,#REF!,0),FALSE),IF($C$9=551,VLOOKUP(B114,#REF!,MATCH($F$9,#REF!,0),FALSE))))))))),"REF. NÃO CADASTRADA NA TABELA")</f>
        <v/>
      </c>
      <c r="H114" s="36"/>
      <c r="I114" s="37" t="str">
        <f t="shared" si="0"/>
        <v/>
      </c>
      <c r="J114" s="33" t="str">
        <f t="shared" si="1"/>
        <v/>
      </c>
      <c r="K114" s="38" t="str">
        <f>IF($F$6="","",IF(B114="","",IF(C114="REF. NÃO CADASTRADA NA TABELA","",IFERROR(VLOOKUP(B114,#REF!,VLOOKUP($F$6,'BASE CONTÁBIL'!N:O,2,FALSE),FALSE),0))))</f>
        <v/>
      </c>
      <c r="L114" s="35" t="str">
        <f t="shared" si="2"/>
        <v/>
      </c>
      <c r="M114" s="35" t="str">
        <f t="shared" si="3"/>
        <v/>
      </c>
      <c r="N114" s="35" t="str">
        <f t="shared" si="4"/>
        <v/>
      </c>
      <c r="O114" s="35" t="str">
        <f t="shared" si="5"/>
        <v/>
      </c>
      <c r="P114" s="33" t="e">
        <f t="shared" si="6"/>
        <v>#REF!</v>
      </c>
      <c r="Q114" s="2"/>
      <c r="R114" s="2"/>
      <c r="S114" s="2"/>
      <c r="T114" s="2"/>
      <c r="U114" s="2"/>
    </row>
    <row r="115" spans="1:21" ht="12.75" customHeight="1" x14ac:dyDescent="0.2">
      <c r="A115" s="2"/>
      <c r="B115" s="31"/>
      <c r="C115" s="32" t="str">
        <f>IFERROR((IF(B115="","",IF($F$6="","Informar UF / Tabela / Prazo de Pagamento",IF($F$9="","Informar UF / Tabela / Prazo de Pagamento",IF($C$9="","Informar UF / Tabela / Prazo de Pagamento",VLOOKUP(B115,'Tabela 130 '!$A$5:$T$1001,2,FALSE)))))),"REF. NÃO CADASTRADA NA TABELA")</f>
        <v/>
      </c>
      <c r="D115" s="33" t="str">
        <f>IF('FOLHA DE PEDIDO '!B115="","",IF(C115="REF. NÃO CADASTRADA NA TABELA","",VLOOKUP(B115,'Tabela 130 '!$A$5:$AI$801,3,FALSE)))</f>
        <v/>
      </c>
      <c r="E115" s="34"/>
      <c r="F115" s="34"/>
      <c r="G115" s="35" t="str">
        <f>IFERROR(IF(C115="REF. NÃO CADASTRADA NA TABELA","",IF($C$9="","",IF($F$9="","",IF(B115="","",IF($C$9=119,VLOOKUP(B115,'Tabela 130 '!$A$5:$T$2711,MATCH($F$9,'Tabela 130 '!$A$5:$T$5,0),FALSE),IF($C$9=553,VLOOKUP(B115,#REF!,MATCH($F$9,#REF!,0),FALSE),IF($C$9=552,VLOOKUP(B115,#REF!,MATCH($F$9,#REF!,0),FALSE),IF($C$9=551,VLOOKUP(B115,#REF!,MATCH($F$9,#REF!,0),FALSE))))))))),"REF. NÃO CADASTRADA NA TABELA")</f>
        <v/>
      </c>
      <c r="H115" s="36"/>
      <c r="I115" s="37" t="str">
        <f t="shared" si="0"/>
        <v/>
      </c>
      <c r="J115" s="33" t="str">
        <f t="shared" si="1"/>
        <v/>
      </c>
      <c r="K115" s="38" t="str">
        <f>IF($F$6="","",IF(B115="","",IF(C115="REF. NÃO CADASTRADA NA TABELA","",IFERROR(VLOOKUP(B115,#REF!,VLOOKUP($F$6,'BASE CONTÁBIL'!N:O,2,FALSE),FALSE),0))))</f>
        <v/>
      </c>
      <c r="L115" s="35" t="str">
        <f t="shared" si="2"/>
        <v/>
      </c>
      <c r="M115" s="35" t="str">
        <f t="shared" si="3"/>
        <v/>
      </c>
      <c r="N115" s="35" t="str">
        <f t="shared" si="4"/>
        <v/>
      </c>
      <c r="O115" s="35" t="str">
        <f t="shared" si="5"/>
        <v/>
      </c>
      <c r="P115" s="33" t="e">
        <f t="shared" si="6"/>
        <v>#REF!</v>
      </c>
      <c r="Q115" s="2"/>
      <c r="R115" s="2"/>
      <c r="S115" s="2"/>
      <c r="T115" s="2"/>
      <c r="U115" s="2"/>
    </row>
    <row r="116" spans="1:21" ht="12.75" customHeight="1" x14ac:dyDescent="0.2">
      <c r="A116" s="2"/>
      <c r="B116" s="31"/>
      <c r="C116" s="32" t="str">
        <f>IFERROR((IF(B116="","",IF($F$6="","Informar UF / Tabela / Prazo de Pagamento",IF($F$9="","Informar UF / Tabela / Prazo de Pagamento",IF($C$9="","Informar UF / Tabela / Prazo de Pagamento",VLOOKUP(B116,'Tabela 130 '!$A$5:$T$1001,2,FALSE)))))),"REF. NÃO CADASTRADA NA TABELA")</f>
        <v/>
      </c>
      <c r="D116" s="33" t="str">
        <f>IF('FOLHA DE PEDIDO '!B116="","",IF(C116="REF. NÃO CADASTRADA NA TABELA","",VLOOKUP(B116,'Tabela 130 '!$A$5:$AI$801,3,FALSE)))</f>
        <v/>
      </c>
      <c r="E116" s="34"/>
      <c r="F116" s="34"/>
      <c r="G116" s="35" t="str">
        <f>IFERROR(IF(C116="REF. NÃO CADASTRADA NA TABELA","",IF($C$9="","",IF($F$9="","",IF(B116="","",IF($C$9=119,VLOOKUP(B116,'Tabela 130 '!$A$5:$T$2711,MATCH($F$9,'Tabela 130 '!$A$5:$T$5,0),FALSE),IF($C$9=553,VLOOKUP(B116,#REF!,MATCH($F$9,#REF!,0),FALSE),IF($C$9=552,VLOOKUP(B116,#REF!,MATCH($F$9,#REF!,0),FALSE),IF($C$9=551,VLOOKUP(B116,#REF!,MATCH($F$9,#REF!,0),FALSE))))))))),"REF. NÃO CADASTRADA NA TABELA")</f>
        <v/>
      </c>
      <c r="H116" s="36"/>
      <c r="I116" s="37" t="str">
        <f t="shared" si="0"/>
        <v/>
      </c>
      <c r="J116" s="33" t="str">
        <f t="shared" si="1"/>
        <v/>
      </c>
      <c r="K116" s="38" t="str">
        <f>IF($F$6="","",IF(B116="","",IF(C116="REF. NÃO CADASTRADA NA TABELA","",IFERROR(VLOOKUP(B116,#REF!,VLOOKUP($F$6,'BASE CONTÁBIL'!N:O,2,FALSE),FALSE),0))))</f>
        <v/>
      </c>
      <c r="L116" s="35" t="str">
        <f t="shared" si="2"/>
        <v/>
      </c>
      <c r="M116" s="35" t="str">
        <f t="shared" si="3"/>
        <v/>
      </c>
      <c r="N116" s="35" t="str">
        <f t="shared" si="4"/>
        <v/>
      </c>
      <c r="O116" s="35" t="str">
        <f t="shared" si="5"/>
        <v/>
      </c>
      <c r="P116" s="33" t="e">
        <f t="shared" si="6"/>
        <v>#REF!</v>
      </c>
      <c r="Q116" s="2"/>
      <c r="R116" s="2"/>
      <c r="S116" s="2"/>
      <c r="T116" s="2"/>
      <c r="U116" s="2"/>
    </row>
    <row r="117" spans="1:21" ht="12.75" customHeight="1" x14ac:dyDescent="0.2">
      <c r="A117" s="2"/>
      <c r="B117" s="31"/>
      <c r="C117" s="32" t="str">
        <f>IFERROR((IF(B117="","",IF($F$6="","Informar UF / Tabela / Prazo de Pagamento",IF($F$9="","Informar UF / Tabela / Prazo de Pagamento",IF($C$9="","Informar UF / Tabela / Prazo de Pagamento",VLOOKUP(B117,'Tabela 130 '!$A$5:$T$1001,2,FALSE)))))),"REF. NÃO CADASTRADA NA TABELA")</f>
        <v/>
      </c>
      <c r="D117" s="33" t="str">
        <f>IF('FOLHA DE PEDIDO '!B117="","",IF(C117="REF. NÃO CADASTRADA NA TABELA","",VLOOKUP(B117,'Tabela 130 '!$A$5:$AI$801,3,FALSE)))</f>
        <v/>
      </c>
      <c r="E117" s="34"/>
      <c r="F117" s="34"/>
      <c r="G117" s="35" t="str">
        <f>IFERROR(IF(C117="REF. NÃO CADASTRADA NA TABELA","",IF($C$9="","",IF($F$9="","",IF(B117="","",IF($C$9=119,VLOOKUP(B117,'Tabela 130 '!$A$5:$T$2711,MATCH($F$9,'Tabela 130 '!$A$5:$T$5,0),FALSE),IF($C$9=553,VLOOKUP(B117,#REF!,MATCH($F$9,#REF!,0),FALSE),IF($C$9=552,VLOOKUP(B117,#REF!,MATCH($F$9,#REF!,0),FALSE),IF($C$9=551,VLOOKUP(B117,#REF!,MATCH($F$9,#REF!,0),FALSE))))))))),"REF. NÃO CADASTRADA NA TABELA")</f>
        <v/>
      </c>
      <c r="H117" s="36"/>
      <c r="I117" s="37" t="str">
        <f t="shared" si="0"/>
        <v/>
      </c>
      <c r="J117" s="33" t="str">
        <f t="shared" si="1"/>
        <v/>
      </c>
      <c r="K117" s="38" t="str">
        <f>IF($F$6="","",IF(B117="","",IF(C117="REF. NÃO CADASTRADA NA TABELA","",IFERROR(VLOOKUP(B117,#REF!,VLOOKUP($F$6,'BASE CONTÁBIL'!N:O,2,FALSE),FALSE),0))))</f>
        <v/>
      </c>
      <c r="L117" s="35" t="str">
        <f t="shared" si="2"/>
        <v/>
      </c>
      <c r="M117" s="35" t="str">
        <f t="shared" si="3"/>
        <v/>
      </c>
      <c r="N117" s="35" t="str">
        <f t="shared" si="4"/>
        <v/>
      </c>
      <c r="O117" s="35" t="str">
        <f t="shared" si="5"/>
        <v/>
      </c>
      <c r="P117" s="33" t="e">
        <f t="shared" si="6"/>
        <v>#REF!</v>
      </c>
      <c r="Q117" s="2"/>
      <c r="R117" s="2"/>
      <c r="S117" s="2"/>
      <c r="T117" s="2"/>
      <c r="U117" s="2"/>
    </row>
    <row r="118" spans="1:21" ht="12.75" customHeight="1" x14ac:dyDescent="0.2">
      <c r="A118" s="2"/>
      <c r="B118" s="31"/>
      <c r="C118" s="32" t="str">
        <f>IFERROR((IF(B118="","",IF($F$6="","Informar UF / Tabela / Prazo de Pagamento",IF($F$9="","Informar UF / Tabela / Prazo de Pagamento",IF($C$9="","Informar UF / Tabela / Prazo de Pagamento",VLOOKUP(B118,'Tabela 130 '!$A$5:$T$1001,2,FALSE)))))),"REF. NÃO CADASTRADA NA TABELA")</f>
        <v/>
      </c>
      <c r="D118" s="33" t="str">
        <f>IF('FOLHA DE PEDIDO '!B118="","",IF(C118="REF. NÃO CADASTRADA NA TABELA","",VLOOKUP(B118,'Tabela 130 '!$A$5:$AI$801,3,FALSE)))</f>
        <v/>
      </c>
      <c r="E118" s="34"/>
      <c r="F118" s="34"/>
      <c r="G118" s="35" t="str">
        <f>IFERROR(IF(C118="REF. NÃO CADASTRADA NA TABELA","",IF($C$9="","",IF($F$9="","",IF(B118="","",IF($C$9=119,VLOOKUP(B118,'Tabela 130 '!$A$5:$T$2711,MATCH($F$9,'Tabela 130 '!$A$5:$T$5,0),FALSE),IF($C$9=553,VLOOKUP(B118,#REF!,MATCH($F$9,#REF!,0),FALSE),IF($C$9=552,VLOOKUP(B118,#REF!,MATCH($F$9,#REF!,0),FALSE),IF($C$9=551,VLOOKUP(B118,#REF!,MATCH($F$9,#REF!,0),FALSE))))))))),"REF. NÃO CADASTRADA NA TABELA")</f>
        <v/>
      </c>
      <c r="H118" s="36"/>
      <c r="I118" s="37" t="str">
        <f t="shared" si="0"/>
        <v/>
      </c>
      <c r="J118" s="33" t="str">
        <f t="shared" si="1"/>
        <v/>
      </c>
      <c r="K118" s="38" t="str">
        <f>IF($F$6="","",IF(B118="","",IF(C118="REF. NÃO CADASTRADA NA TABELA","",IFERROR(VLOOKUP(B118,#REF!,VLOOKUP($F$6,'BASE CONTÁBIL'!N:O,2,FALSE),FALSE),0))))</f>
        <v/>
      </c>
      <c r="L118" s="35" t="str">
        <f t="shared" si="2"/>
        <v/>
      </c>
      <c r="M118" s="35" t="str">
        <f t="shared" si="3"/>
        <v/>
      </c>
      <c r="N118" s="35" t="str">
        <f t="shared" si="4"/>
        <v/>
      </c>
      <c r="O118" s="35" t="str">
        <f t="shared" si="5"/>
        <v/>
      </c>
      <c r="P118" s="33" t="e">
        <f t="shared" si="6"/>
        <v>#REF!</v>
      </c>
      <c r="Q118" s="2"/>
      <c r="R118" s="2"/>
      <c r="S118" s="2"/>
      <c r="T118" s="2"/>
      <c r="U118" s="2"/>
    </row>
    <row r="119" spans="1:21" ht="12.75" customHeight="1" x14ac:dyDescent="0.2">
      <c r="A119" s="2"/>
      <c r="B119" s="31"/>
      <c r="C119" s="32" t="str">
        <f>IFERROR((IF(B119="","",IF($F$6="","Informar UF / Tabela / Prazo de Pagamento",IF($F$9="","Informar UF / Tabela / Prazo de Pagamento",IF($C$9="","Informar UF / Tabela / Prazo de Pagamento",VLOOKUP(B119,'Tabela 130 '!$A$5:$T$1001,2,FALSE)))))),"REF. NÃO CADASTRADA NA TABELA")</f>
        <v/>
      </c>
      <c r="D119" s="33" t="str">
        <f>IF('FOLHA DE PEDIDO '!B119="","",IF(C119="REF. NÃO CADASTRADA NA TABELA","",VLOOKUP(B119,'Tabela 130 '!$A$5:$AI$801,3,FALSE)))</f>
        <v/>
      </c>
      <c r="E119" s="34"/>
      <c r="F119" s="34"/>
      <c r="G119" s="35" t="str">
        <f>IFERROR(IF(C119="REF. NÃO CADASTRADA NA TABELA","",IF($C$9="","",IF($F$9="","",IF(B119="","",IF($C$9=119,VLOOKUP(B119,'Tabela 130 '!$A$5:$T$2711,MATCH($F$9,'Tabela 130 '!$A$5:$T$5,0),FALSE),IF($C$9=553,VLOOKUP(B119,#REF!,MATCH($F$9,#REF!,0),FALSE),IF($C$9=552,VLOOKUP(B119,#REF!,MATCH($F$9,#REF!,0),FALSE),IF($C$9=551,VLOOKUP(B119,#REF!,MATCH($F$9,#REF!,0),FALSE))))))))),"REF. NÃO CADASTRADA NA TABELA")</f>
        <v/>
      </c>
      <c r="H119" s="36"/>
      <c r="I119" s="37" t="str">
        <f t="shared" si="0"/>
        <v/>
      </c>
      <c r="J119" s="33" t="str">
        <f t="shared" si="1"/>
        <v/>
      </c>
      <c r="K119" s="38" t="str">
        <f>IF($F$6="","",IF(B119="","",IF(C119="REF. NÃO CADASTRADA NA TABELA","",IFERROR(VLOOKUP(B119,#REF!,VLOOKUP($F$6,'BASE CONTÁBIL'!N:O,2,FALSE),FALSE),0))))</f>
        <v/>
      </c>
      <c r="L119" s="35" t="str">
        <f t="shared" si="2"/>
        <v/>
      </c>
      <c r="M119" s="35" t="str">
        <f t="shared" si="3"/>
        <v/>
      </c>
      <c r="N119" s="35" t="str">
        <f t="shared" si="4"/>
        <v/>
      </c>
      <c r="O119" s="35" t="str">
        <f t="shared" si="5"/>
        <v/>
      </c>
      <c r="P119" s="33" t="e">
        <f t="shared" si="6"/>
        <v>#REF!</v>
      </c>
      <c r="Q119" s="2"/>
      <c r="R119" s="2"/>
      <c r="S119" s="2"/>
      <c r="T119" s="2"/>
      <c r="U119" s="2"/>
    </row>
    <row r="120" spans="1:21" ht="12.75" customHeight="1" x14ac:dyDescent="0.2">
      <c r="A120" s="2"/>
      <c r="B120" s="31"/>
      <c r="C120" s="32" t="str">
        <f>IFERROR((IF(B120="","",IF($F$6="","Informar UF / Tabela / Prazo de Pagamento",IF($F$9="","Informar UF / Tabela / Prazo de Pagamento",IF($C$9="","Informar UF / Tabela / Prazo de Pagamento",VLOOKUP(B120,'Tabela 130 '!$A$5:$T$1001,2,FALSE)))))),"REF. NÃO CADASTRADA NA TABELA")</f>
        <v/>
      </c>
      <c r="D120" s="33" t="str">
        <f>IF('FOLHA DE PEDIDO '!B120="","",IF(C120="REF. NÃO CADASTRADA NA TABELA","",VLOOKUP(B120,'Tabela 130 '!$A$5:$AI$801,3,FALSE)))</f>
        <v/>
      </c>
      <c r="E120" s="34"/>
      <c r="F120" s="34"/>
      <c r="G120" s="35" t="str">
        <f>IFERROR(IF(C120="REF. NÃO CADASTRADA NA TABELA","",IF($C$9="","",IF($F$9="","",IF(B120="","",IF($C$9=119,VLOOKUP(B120,'Tabela 130 '!$A$5:$T$2711,MATCH($F$9,'Tabela 130 '!$A$5:$T$5,0),FALSE),IF($C$9=553,VLOOKUP(B120,#REF!,MATCH($F$9,#REF!,0),FALSE),IF($C$9=552,VLOOKUP(B120,#REF!,MATCH($F$9,#REF!,0),FALSE),IF($C$9=551,VLOOKUP(B120,#REF!,MATCH($F$9,#REF!,0),FALSE))))))))),"REF. NÃO CADASTRADA NA TABELA")</f>
        <v/>
      </c>
      <c r="H120" s="36"/>
      <c r="I120" s="37" t="str">
        <f t="shared" si="0"/>
        <v/>
      </c>
      <c r="J120" s="33" t="str">
        <f t="shared" si="1"/>
        <v/>
      </c>
      <c r="K120" s="38" t="str">
        <f>IF($F$6="","",IF(B120="","",IF(C120="REF. NÃO CADASTRADA NA TABELA","",IFERROR(VLOOKUP(B120,#REF!,VLOOKUP($F$6,'BASE CONTÁBIL'!N:O,2,FALSE),FALSE),0))))</f>
        <v/>
      </c>
      <c r="L120" s="35" t="str">
        <f t="shared" si="2"/>
        <v/>
      </c>
      <c r="M120" s="35" t="str">
        <f t="shared" si="3"/>
        <v/>
      </c>
      <c r="N120" s="35" t="str">
        <f t="shared" si="4"/>
        <v/>
      </c>
      <c r="O120" s="35" t="str">
        <f t="shared" si="5"/>
        <v/>
      </c>
      <c r="P120" s="33" t="e">
        <f t="shared" si="6"/>
        <v>#REF!</v>
      </c>
      <c r="Q120" s="2"/>
      <c r="R120" s="2"/>
      <c r="S120" s="2"/>
      <c r="T120" s="2"/>
      <c r="U120" s="2"/>
    </row>
    <row r="121" spans="1:21" ht="12.75" customHeight="1" x14ac:dyDescent="0.2">
      <c r="A121" s="2"/>
      <c r="B121" s="31"/>
      <c r="C121" s="32" t="str">
        <f>IFERROR((IF(B121="","",IF($F$6="","Informar UF / Tabela / Prazo de Pagamento",IF($F$9="","Informar UF / Tabela / Prazo de Pagamento",IF($C$9="","Informar UF / Tabela / Prazo de Pagamento",VLOOKUP(B121,'Tabela 130 '!$A$5:$T$1001,2,FALSE)))))),"REF. NÃO CADASTRADA NA TABELA")</f>
        <v/>
      </c>
      <c r="D121" s="33" t="str">
        <f>IF('FOLHA DE PEDIDO '!B121="","",IF(C121="REF. NÃO CADASTRADA NA TABELA","",VLOOKUP(B121,'Tabela 130 '!$A$5:$AI$801,3,FALSE)))</f>
        <v/>
      </c>
      <c r="E121" s="34"/>
      <c r="F121" s="34"/>
      <c r="G121" s="35" t="str">
        <f>IFERROR(IF(C121="REF. NÃO CADASTRADA NA TABELA","",IF($C$9="","",IF($F$9="","",IF(B121="","",IF($C$9=119,VLOOKUP(B121,'Tabela 130 '!$A$5:$T$2711,MATCH($F$9,'Tabela 130 '!$A$5:$T$5,0),FALSE),IF($C$9=553,VLOOKUP(B121,#REF!,MATCH($F$9,#REF!,0),FALSE),IF($C$9=552,VLOOKUP(B121,#REF!,MATCH($F$9,#REF!,0),FALSE),IF($C$9=551,VLOOKUP(B121,#REF!,MATCH($F$9,#REF!,0),FALSE))))))))),"REF. NÃO CADASTRADA NA TABELA")</f>
        <v/>
      </c>
      <c r="H121" s="36"/>
      <c r="I121" s="37" t="str">
        <f t="shared" si="0"/>
        <v/>
      </c>
      <c r="J121" s="33" t="str">
        <f t="shared" si="1"/>
        <v/>
      </c>
      <c r="K121" s="38" t="str">
        <f>IF($F$6="","",IF(B121="","",IF(C121="REF. NÃO CADASTRADA NA TABELA","",IFERROR(VLOOKUP(B121,#REF!,VLOOKUP($F$6,'BASE CONTÁBIL'!N:O,2,FALSE),FALSE),0))))</f>
        <v/>
      </c>
      <c r="L121" s="35" t="str">
        <f t="shared" si="2"/>
        <v/>
      </c>
      <c r="M121" s="35" t="str">
        <f t="shared" si="3"/>
        <v/>
      </c>
      <c r="N121" s="35" t="str">
        <f t="shared" si="4"/>
        <v/>
      </c>
      <c r="O121" s="35" t="str">
        <f t="shared" si="5"/>
        <v/>
      </c>
      <c r="P121" s="33" t="e">
        <f t="shared" si="6"/>
        <v>#REF!</v>
      </c>
      <c r="Q121" s="2"/>
      <c r="R121" s="2"/>
      <c r="S121" s="2"/>
      <c r="T121" s="2"/>
      <c r="U121" s="2"/>
    </row>
    <row r="122" spans="1:21" ht="12.75" customHeight="1" x14ac:dyDescent="0.2">
      <c r="A122" s="2"/>
      <c r="B122" s="31"/>
      <c r="C122" s="32" t="str">
        <f>IFERROR((IF(B122="","",IF($F$6="","Informar UF / Tabela / Prazo de Pagamento",IF($F$9="","Informar UF / Tabela / Prazo de Pagamento",IF($C$9="","Informar UF / Tabela / Prazo de Pagamento",VLOOKUP(B122,'Tabela 130 '!$A$5:$T$1001,2,FALSE)))))),"REF. NÃO CADASTRADA NA TABELA")</f>
        <v/>
      </c>
      <c r="D122" s="33" t="str">
        <f>IF('FOLHA DE PEDIDO '!B122="","",IF(C122="REF. NÃO CADASTRADA NA TABELA","",VLOOKUP(B122,'Tabela 130 '!$A$5:$AI$801,3,FALSE)))</f>
        <v/>
      </c>
      <c r="E122" s="34"/>
      <c r="F122" s="34"/>
      <c r="G122" s="35" t="str">
        <f>IFERROR(IF(C122="REF. NÃO CADASTRADA NA TABELA","",IF($C$9="","",IF($F$9="","",IF(B122="","",IF($C$9=119,VLOOKUP(B122,'Tabela 130 '!$A$5:$T$2711,MATCH($F$9,'Tabela 130 '!$A$5:$T$5,0),FALSE),IF($C$9=553,VLOOKUP(B122,#REF!,MATCH($F$9,#REF!,0),FALSE),IF($C$9=552,VLOOKUP(B122,#REF!,MATCH($F$9,#REF!,0),FALSE),IF($C$9=551,VLOOKUP(B122,#REF!,MATCH($F$9,#REF!,0),FALSE))))))))),"REF. NÃO CADASTRADA NA TABELA")</f>
        <v/>
      </c>
      <c r="H122" s="36"/>
      <c r="I122" s="37" t="str">
        <f t="shared" si="0"/>
        <v/>
      </c>
      <c r="J122" s="33" t="str">
        <f t="shared" si="1"/>
        <v/>
      </c>
      <c r="K122" s="38" t="str">
        <f>IF($F$6="","",IF(B122="","",IF(C122="REF. NÃO CADASTRADA NA TABELA","",IFERROR(VLOOKUP(B122,#REF!,VLOOKUP($F$6,'BASE CONTÁBIL'!N:O,2,FALSE),FALSE),0))))</f>
        <v/>
      </c>
      <c r="L122" s="35" t="str">
        <f t="shared" si="2"/>
        <v/>
      </c>
      <c r="M122" s="35" t="str">
        <f t="shared" si="3"/>
        <v/>
      </c>
      <c r="N122" s="35" t="str">
        <f t="shared" si="4"/>
        <v/>
      </c>
      <c r="O122" s="35" t="str">
        <f t="shared" si="5"/>
        <v/>
      </c>
      <c r="P122" s="33" t="e">
        <f t="shared" si="6"/>
        <v>#REF!</v>
      </c>
      <c r="Q122" s="2"/>
      <c r="R122" s="2"/>
      <c r="S122" s="2"/>
      <c r="T122" s="2"/>
      <c r="U122" s="2"/>
    </row>
    <row r="123" spans="1:21" ht="12.75" customHeight="1" x14ac:dyDescent="0.2">
      <c r="A123" s="2"/>
      <c r="B123" s="31"/>
      <c r="C123" s="32" t="str">
        <f>IFERROR((IF(B123="","",IF($F$6="","Informar UF / Tabela / Prazo de Pagamento",IF($F$9="","Informar UF / Tabela / Prazo de Pagamento",IF($C$9="","Informar UF / Tabela / Prazo de Pagamento",VLOOKUP(B123,'Tabela 130 '!$A$5:$T$1001,2,FALSE)))))),"REF. NÃO CADASTRADA NA TABELA")</f>
        <v/>
      </c>
      <c r="D123" s="33" t="str">
        <f>IF('FOLHA DE PEDIDO '!B123="","",IF(C123="REF. NÃO CADASTRADA NA TABELA","",VLOOKUP(B123,'Tabela 130 '!$A$5:$AI$801,3,FALSE)))</f>
        <v/>
      </c>
      <c r="E123" s="34"/>
      <c r="F123" s="34"/>
      <c r="G123" s="35" t="str">
        <f>IFERROR(IF(C123="REF. NÃO CADASTRADA NA TABELA","",IF($C$9="","",IF($F$9="","",IF(B123="","",IF($C$9=119,VLOOKUP(B123,'Tabela 130 '!$A$5:$T$2711,MATCH($F$9,'Tabela 130 '!$A$5:$T$5,0),FALSE),IF($C$9=553,VLOOKUP(B123,#REF!,MATCH($F$9,#REF!,0),FALSE),IF($C$9=552,VLOOKUP(B123,#REF!,MATCH($F$9,#REF!,0),FALSE),IF($C$9=551,VLOOKUP(B123,#REF!,MATCH($F$9,#REF!,0),FALSE))))))))),"REF. NÃO CADASTRADA NA TABELA")</f>
        <v/>
      </c>
      <c r="H123" s="36"/>
      <c r="I123" s="37" t="str">
        <f t="shared" si="0"/>
        <v/>
      </c>
      <c r="J123" s="33" t="str">
        <f t="shared" si="1"/>
        <v/>
      </c>
      <c r="K123" s="38" t="str">
        <f>IF($F$6="","",IF(B123="","",IF(C123="REF. NÃO CADASTRADA NA TABELA","",IFERROR(VLOOKUP(B123,#REF!,VLOOKUP($F$6,'BASE CONTÁBIL'!N:O,2,FALSE),FALSE),0))))</f>
        <v/>
      </c>
      <c r="L123" s="35" t="str">
        <f t="shared" si="2"/>
        <v/>
      </c>
      <c r="M123" s="35" t="str">
        <f t="shared" si="3"/>
        <v/>
      </c>
      <c r="N123" s="35" t="str">
        <f t="shared" si="4"/>
        <v/>
      </c>
      <c r="O123" s="35" t="str">
        <f t="shared" si="5"/>
        <v/>
      </c>
      <c r="P123" s="33" t="e">
        <f t="shared" si="6"/>
        <v>#REF!</v>
      </c>
      <c r="Q123" s="2"/>
      <c r="R123" s="2"/>
      <c r="S123" s="2"/>
      <c r="T123" s="2"/>
      <c r="U123" s="2"/>
    </row>
    <row r="124" spans="1:21" ht="12.75" customHeight="1" x14ac:dyDescent="0.2">
      <c r="A124" s="2"/>
      <c r="B124" s="31"/>
      <c r="C124" s="32" t="str">
        <f>IFERROR((IF(B124="","",IF($F$6="","Informar UF / Tabela / Prazo de Pagamento",IF($F$9="","Informar UF / Tabela / Prazo de Pagamento",IF($C$9="","Informar UF / Tabela / Prazo de Pagamento",VLOOKUP(B124,'Tabela 130 '!$A$5:$T$1001,2,FALSE)))))),"REF. NÃO CADASTRADA NA TABELA")</f>
        <v/>
      </c>
      <c r="D124" s="33" t="str">
        <f>IF('FOLHA DE PEDIDO '!B124="","",IF(C124="REF. NÃO CADASTRADA NA TABELA","",VLOOKUP(B124,'Tabela 130 '!$A$5:$AI$801,3,FALSE)))</f>
        <v/>
      </c>
      <c r="E124" s="34"/>
      <c r="F124" s="34"/>
      <c r="G124" s="35" t="str">
        <f>IFERROR(IF(C124="REF. NÃO CADASTRADA NA TABELA","",IF($C$9="","",IF($F$9="","",IF(B124="","",IF($C$9=119,VLOOKUP(B124,'Tabela 130 '!$A$5:$T$2711,MATCH($F$9,'Tabela 130 '!$A$5:$T$5,0),FALSE),IF($C$9=553,VLOOKUP(B124,#REF!,MATCH($F$9,#REF!,0),FALSE),IF($C$9=552,VLOOKUP(B124,#REF!,MATCH($F$9,#REF!,0),FALSE),IF($C$9=551,VLOOKUP(B124,#REF!,MATCH($F$9,#REF!,0),FALSE))))))))),"REF. NÃO CADASTRADA NA TABELA")</f>
        <v/>
      </c>
      <c r="H124" s="36"/>
      <c r="I124" s="37" t="str">
        <f t="shared" si="0"/>
        <v/>
      </c>
      <c r="J124" s="33" t="str">
        <f t="shared" si="1"/>
        <v/>
      </c>
      <c r="K124" s="38" t="str">
        <f>IF($F$6="","",IF(B124="","",IF(C124="REF. NÃO CADASTRADA NA TABELA","",IFERROR(VLOOKUP(B124,#REF!,VLOOKUP($F$6,'BASE CONTÁBIL'!N:O,2,FALSE),FALSE),0))))</f>
        <v/>
      </c>
      <c r="L124" s="35" t="str">
        <f t="shared" si="2"/>
        <v/>
      </c>
      <c r="M124" s="35" t="str">
        <f t="shared" si="3"/>
        <v/>
      </c>
      <c r="N124" s="35" t="str">
        <f t="shared" si="4"/>
        <v/>
      </c>
      <c r="O124" s="35" t="str">
        <f t="shared" si="5"/>
        <v/>
      </c>
      <c r="P124" s="33" t="e">
        <f t="shared" si="6"/>
        <v>#REF!</v>
      </c>
      <c r="Q124" s="2"/>
      <c r="R124" s="2"/>
      <c r="S124" s="2"/>
      <c r="T124" s="2"/>
      <c r="U124" s="2"/>
    </row>
    <row r="125" spans="1:21" ht="12.75" customHeight="1" x14ac:dyDescent="0.2">
      <c r="A125" s="2"/>
      <c r="B125" s="31"/>
      <c r="C125" s="32" t="str">
        <f>IFERROR((IF(B125="","",IF($F$6="","Informar UF / Tabela / Prazo de Pagamento",IF($F$9="","Informar UF / Tabela / Prazo de Pagamento",IF($C$9="","Informar UF / Tabela / Prazo de Pagamento",VLOOKUP(B125,'Tabela 130 '!$A$5:$T$1001,2,FALSE)))))),"REF. NÃO CADASTRADA NA TABELA")</f>
        <v/>
      </c>
      <c r="D125" s="33" t="str">
        <f>IF('FOLHA DE PEDIDO '!B125="","",IF(C125="REF. NÃO CADASTRADA NA TABELA","",VLOOKUP(B125,'Tabela 130 '!$A$5:$AI$801,3,FALSE)))</f>
        <v/>
      </c>
      <c r="E125" s="34"/>
      <c r="F125" s="34"/>
      <c r="G125" s="35" t="str">
        <f>IFERROR(IF(C125="REF. NÃO CADASTRADA NA TABELA","",IF($C$9="","",IF($F$9="","",IF(B125="","",IF($C$9=119,VLOOKUP(B125,'Tabela 130 '!$A$5:$T$2711,MATCH($F$9,'Tabela 130 '!$A$5:$T$5,0),FALSE),IF($C$9=553,VLOOKUP(B125,#REF!,MATCH($F$9,#REF!,0),FALSE),IF($C$9=552,VLOOKUP(B125,#REF!,MATCH($F$9,#REF!,0),FALSE),IF($C$9=551,VLOOKUP(B125,#REF!,MATCH($F$9,#REF!,0),FALSE))))))))),"REF. NÃO CADASTRADA NA TABELA")</f>
        <v/>
      </c>
      <c r="H125" s="36"/>
      <c r="I125" s="37" t="str">
        <f t="shared" si="0"/>
        <v/>
      </c>
      <c r="J125" s="33" t="str">
        <f t="shared" si="1"/>
        <v/>
      </c>
      <c r="K125" s="38" t="str">
        <f>IF($F$6="","",IF(B125="","",IF(C125="REF. NÃO CADASTRADA NA TABELA","",IFERROR(VLOOKUP(B125,#REF!,VLOOKUP($F$6,'BASE CONTÁBIL'!N:O,2,FALSE),FALSE),0))))</f>
        <v/>
      </c>
      <c r="L125" s="35" t="str">
        <f t="shared" si="2"/>
        <v/>
      </c>
      <c r="M125" s="35" t="str">
        <f t="shared" si="3"/>
        <v/>
      </c>
      <c r="N125" s="35" t="str">
        <f t="shared" si="4"/>
        <v/>
      </c>
      <c r="O125" s="35" t="str">
        <f t="shared" si="5"/>
        <v/>
      </c>
      <c r="P125" s="33" t="e">
        <f t="shared" si="6"/>
        <v>#REF!</v>
      </c>
      <c r="Q125" s="2"/>
      <c r="R125" s="2"/>
      <c r="S125" s="2"/>
      <c r="T125" s="2"/>
      <c r="U125" s="2"/>
    </row>
    <row r="126" spans="1:21" ht="12.75" customHeight="1" x14ac:dyDescent="0.2">
      <c r="A126" s="2"/>
      <c r="B126" s="31"/>
      <c r="C126" s="32" t="str">
        <f>IFERROR((IF(B126="","",IF($F$6="","Informar UF / Tabela / Prazo de Pagamento",IF($F$9="","Informar UF / Tabela / Prazo de Pagamento",IF($C$9="","Informar UF / Tabela / Prazo de Pagamento",VLOOKUP(B126,'Tabela 130 '!$A$5:$T$1001,2,FALSE)))))),"REF. NÃO CADASTRADA NA TABELA")</f>
        <v/>
      </c>
      <c r="D126" s="33" t="str">
        <f>IF('FOLHA DE PEDIDO '!B126="","",IF(C126="REF. NÃO CADASTRADA NA TABELA","",VLOOKUP(B126,'Tabela 130 '!$A$5:$AI$801,3,FALSE)))</f>
        <v/>
      </c>
      <c r="E126" s="34"/>
      <c r="F126" s="34"/>
      <c r="G126" s="35" t="str">
        <f>IFERROR(IF(C126="REF. NÃO CADASTRADA NA TABELA","",IF($C$9="","",IF($F$9="","",IF(B126="","",IF($C$9=119,VLOOKUP(B126,'Tabela 130 '!$A$5:$T$2711,MATCH($F$9,'Tabela 130 '!$A$5:$T$5,0),FALSE),IF($C$9=553,VLOOKUP(B126,#REF!,MATCH($F$9,#REF!,0),FALSE),IF($C$9=552,VLOOKUP(B126,#REF!,MATCH($F$9,#REF!,0),FALSE),IF($C$9=551,VLOOKUP(B126,#REF!,MATCH($F$9,#REF!,0),FALSE))))))))),"REF. NÃO CADASTRADA NA TABELA")</f>
        <v/>
      </c>
      <c r="H126" s="36"/>
      <c r="I126" s="37" t="str">
        <f t="shared" si="0"/>
        <v/>
      </c>
      <c r="J126" s="33" t="str">
        <f t="shared" si="1"/>
        <v/>
      </c>
      <c r="K126" s="38" t="str">
        <f>IF($F$6="","",IF(B126="","",IF(C126="REF. NÃO CADASTRADA NA TABELA","",IFERROR(VLOOKUP(B126,#REF!,VLOOKUP($F$6,'BASE CONTÁBIL'!N:O,2,FALSE),FALSE),0))))</f>
        <v/>
      </c>
      <c r="L126" s="35" t="str">
        <f t="shared" si="2"/>
        <v/>
      </c>
      <c r="M126" s="35" t="str">
        <f t="shared" si="3"/>
        <v/>
      </c>
      <c r="N126" s="35" t="str">
        <f t="shared" si="4"/>
        <v/>
      </c>
      <c r="O126" s="35" t="str">
        <f t="shared" si="5"/>
        <v/>
      </c>
      <c r="P126" s="33" t="e">
        <f t="shared" si="6"/>
        <v>#REF!</v>
      </c>
      <c r="Q126" s="2"/>
      <c r="R126" s="2"/>
      <c r="S126" s="2"/>
      <c r="T126" s="2"/>
      <c r="U126" s="2"/>
    </row>
    <row r="127" spans="1:21" ht="12.75" customHeight="1" x14ac:dyDescent="0.2">
      <c r="A127" s="2"/>
      <c r="B127" s="31"/>
      <c r="C127" s="32" t="str">
        <f>IFERROR((IF(B127="","",IF($F$6="","Informar UF / Tabela / Prazo de Pagamento",IF($F$9="","Informar UF / Tabela / Prazo de Pagamento",IF($C$9="","Informar UF / Tabela / Prazo de Pagamento",VLOOKUP(B127,'Tabela 130 '!$A$5:$T$1001,2,FALSE)))))),"REF. NÃO CADASTRADA NA TABELA")</f>
        <v/>
      </c>
      <c r="D127" s="33" t="str">
        <f>IF('FOLHA DE PEDIDO '!B127="","",IF(C127="REF. NÃO CADASTRADA NA TABELA","",VLOOKUP(B127,'Tabela 130 '!$A$5:$AI$801,3,FALSE)))</f>
        <v/>
      </c>
      <c r="E127" s="34"/>
      <c r="F127" s="34"/>
      <c r="G127" s="35" t="str">
        <f>IFERROR(IF(C127="REF. NÃO CADASTRADA NA TABELA","",IF($C$9="","",IF($F$9="","",IF(B127="","",IF($C$9=119,VLOOKUP(B127,'Tabela 130 '!$A$5:$T$2711,MATCH($F$9,'Tabela 130 '!$A$5:$T$5,0),FALSE),IF($C$9=553,VLOOKUP(B127,#REF!,MATCH($F$9,#REF!,0),FALSE),IF($C$9=552,VLOOKUP(B127,#REF!,MATCH($F$9,#REF!,0),FALSE),IF($C$9=551,VLOOKUP(B127,#REF!,MATCH($F$9,#REF!,0),FALSE))))))))),"REF. NÃO CADASTRADA NA TABELA")</f>
        <v/>
      </c>
      <c r="H127" s="36"/>
      <c r="I127" s="37" t="str">
        <f t="shared" si="0"/>
        <v/>
      </c>
      <c r="J127" s="33" t="str">
        <f t="shared" si="1"/>
        <v/>
      </c>
      <c r="K127" s="38" t="str">
        <f>IF($F$6="","",IF(B127="","",IF(C127="REF. NÃO CADASTRADA NA TABELA","",IFERROR(VLOOKUP(B127,#REF!,VLOOKUP($F$6,'BASE CONTÁBIL'!N:O,2,FALSE),FALSE),0))))</f>
        <v/>
      </c>
      <c r="L127" s="35" t="str">
        <f t="shared" si="2"/>
        <v/>
      </c>
      <c r="M127" s="35" t="str">
        <f t="shared" si="3"/>
        <v/>
      </c>
      <c r="N127" s="35" t="str">
        <f t="shared" si="4"/>
        <v/>
      </c>
      <c r="O127" s="35" t="str">
        <f t="shared" si="5"/>
        <v/>
      </c>
      <c r="P127" s="33" t="e">
        <f t="shared" si="6"/>
        <v>#REF!</v>
      </c>
      <c r="Q127" s="2"/>
      <c r="R127" s="2"/>
      <c r="S127" s="2"/>
      <c r="T127" s="2"/>
      <c r="U127" s="2"/>
    </row>
    <row r="128" spans="1:21" ht="12.75" customHeight="1" x14ac:dyDescent="0.2">
      <c r="A128" s="2"/>
      <c r="B128" s="31"/>
      <c r="C128" s="32" t="str">
        <f>IFERROR((IF(B128="","",IF($F$6="","Informar UF / Tabela / Prazo de Pagamento",IF($F$9="","Informar UF / Tabela / Prazo de Pagamento",IF($C$9="","Informar UF / Tabela / Prazo de Pagamento",VLOOKUP(B128,'Tabela 130 '!$A$5:$T$1001,2,FALSE)))))),"REF. NÃO CADASTRADA NA TABELA")</f>
        <v/>
      </c>
      <c r="D128" s="33" t="str">
        <f>IF('FOLHA DE PEDIDO '!B128="","",IF(C128="REF. NÃO CADASTRADA NA TABELA","",VLOOKUP(B128,'Tabela 130 '!$A$5:$AI$801,3,FALSE)))</f>
        <v/>
      </c>
      <c r="E128" s="34"/>
      <c r="F128" s="34"/>
      <c r="G128" s="35" t="str">
        <f>IFERROR(IF(C128="REF. NÃO CADASTRADA NA TABELA","",IF($C$9="","",IF($F$9="","",IF(B128="","",IF($C$9=119,VLOOKUP(B128,'Tabela 130 '!$A$5:$T$2711,MATCH($F$9,'Tabela 130 '!$A$5:$T$5,0),FALSE),IF($C$9=553,VLOOKUP(B128,#REF!,MATCH($F$9,#REF!,0),FALSE),IF($C$9=552,VLOOKUP(B128,#REF!,MATCH($F$9,#REF!,0),FALSE),IF($C$9=551,VLOOKUP(B128,#REF!,MATCH($F$9,#REF!,0),FALSE))))))))),"REF. NÃO CADASTRADA NA TABELA")</f>
        <v/>
      </c>
      <c r="H128" s="36"/>
      <c r="I128" s="37" t="str">
        <f t="shared" si="0"/>
        <v/>
      </c>
      <c r="J128" s="33" t="str">
        <f t="shared" si="1"/>
        <v/>
      </c>
      <c r="K128" s="38" t="str">
        <f>IF($F$6="","",IF(B128="","",IF(C128="REF. NÃO CADASTRADA NA TABELA","",IFERROR(VLOOKUP(B128,#REF!,VLOOKUP($F$6,'BASE CONTÁBIL'!N:O,2,FALSE),FALSE),0))))</f>
        <v/>
      </c>
      <c r="L128" s="35" t="str">
        <f t="shared" si="2"/>
        <v/>
      </c>
      <c r="M128" s="35" t="str">
        <f t="shared" si="3"/>
        <v/>
      </c>
      <c r="N128" s="35" t="str">
        <f t="shared" si="4"/>
        <v/>
      </c>
      <c r="O128" s="35" t="str">
        <f t="shared" si="5"/>
        <v/>
      </c>
      <c r="P128" s="33" t="e">
        <f t="shared" si="6"/>
        <v>#REF!</v>
      </c>
      <c r="Q128" s="2"/>
      <c r="R128" s="2"/>
      <c r="S128" s="2"/>
      <c r="T128" s="2"/>
      <c r="U128" s="2"/>
    </row>
    <row r="129" spans="1:21" ht="12.75" customHeight="1" x14ac:dyDescent="0.2">
      <c r="A129" s="2"/>
      <c r="B129" s="31"/>
      <c r="C129" s="32" t="str">
        <f>IFERROR((IF(B129="","",IF($F$6="","Informar UF / Tabela / Prazo de Pagamento",IF($F$9="","Informar UF / Tabela / Prazo de Pagamento",IF($C$9="","Informar UF / Tabela / Prazo de Pagamento",VLOOKUP(B129,'Tabela 130 '!$A$5:$T$1001,2,FALSE)))))),"REF. NÃO CADASTRADA NA TABELA")</f>
        <v/>
      </c>
      <c r="D129" s="33" t="str">
        <f>IF('FOLHA DE PEDIDO '!B129="","",IF(C129="REF. NÃO CADASTRADA NA TABELA","",VLOOKUP(B129,'Tabela 130 '!$A$5:$AI$801,3,FALSE)))</f>
        <v/>
      </c>
      <c r="E129" s="34"/>
      <c r="F129" s="34"/>
      <c r="G129" s="35" t="str">
        <f>IFERROR(IF(C129="REF. NÃO CADASTRADA NA TABELA","",IF($C$9="","",IF($F$9="","",IF(B129="","",IF($C$9=119,VLOOKUP(B129,'Tabela 130 '!$A$5:$T$2711,MATCH($F$9,'Tabela 130 '!$A$5:$T$5,0),FALSE),IF($C$9=553,VLOOKUP(B129,#REF!,MATCH($F$9,#REF!,0),FALSE),IF($C$9=552,VLOOKUP(B129,#REF!,MATCH($F$9,#REF!,0),FALSE),IF($C$9=551,VLOOKUP(B129,#REF!,MATCH($F$9,#REF!,0),FALSE))))))))),"REF. NÃO CADASTRADA NA TABELA")</f>
        <v/>
      </c>
      <c r="H129" s="36"/>
      <c r="I129" s="37" t="str">
        <f t="shared" si="0"/>
        <v/>
      </c>
      <c r="J129" s="33" t="str">
        <f t="shared" si="1"/>
        <v/>
      </c>
      <c r="K129" s="38" t="str">
        <f>IF($F$6="","",IF(B129="","",IF(C129="REF. NÃO CADASTRADA NA TABELA","",IFERROR(VLOOKUP(B129,#REF!,VLOOKUP($F$6,'BASE CONTÁBIL'!N:O,2,FALSE),FALSE),0))))</f>
        <v/>
      </c>
      <c r="L129" s="35" t="str">
        <f t="shared" si="2"/>
        <v/>
      </c>
      <c r="M129" s="35" t="str">
        <f t="shared" si="3"/>
        <v/>
      </c>
      <c r="N129" s="35" t="str">
        <f t="shared" si="4"/>
        <v/>
      </c>
      <c r="O129" s="35" t="str">
        <f t="shared" si="5"/>
        <v/>
      </c>
      <c r="P129" s="33" t="e">
        <f t="shared" si="6"/>
        <v>#REF!</v>
      </c>
      <c r="Q129" s="2"/>
      <c r="R129" s="2"/>
      <c r="S129" s="2"/>
      <c r="T129" s="2"/>
      <c r="U129" s="2"/>
    </row>
    <row r="130" spans="1:21" ht="12.75" customHeight="1" x14ac:dyDescent="0.2">
      <c r="A130" s="2"/>
      <c r="B130" s="31"/>
      <c r="C130" s="32" t="str">
        <f>IFERROR((IF(B130="","",IF($F$6="","Informar UF / Tabela / Prazo de Pagamento",IF($F$9="","Informar UF / Tabela / Prazo de Pagamento",IF($C$9="","Informar UF / Tabela / Prazo de Pagamento",VLOOKUP(B130,'Tabela 130 '!$A$5:$T$1001,2,FALSE)))))),"REF. NÃO CADASTRADA NA TABELA")</f>
        <v/>
      </c>
      <c r="D130" s="33" t="str">
        <f>IF('FOLHA DE PEDIDO '!B130="","",IF(C130="REF. NÃO CADASTRADA NA TABELA","",VLOOKUP(B130,'Tabela 130 '!$A$5:$AI$801,3,FALSE)))</f>
        <v/>
      </c>
      <c r="E130" s="34"/>
      <c r="F130" s="34"/>
      <c r="G130" s="35" t="str">
        <f>IFERROR(IF(C130="REF. NÃO CADASTRADA NA TABELA","",IF($C$9="","",IF($F$9="","",IF(B130="","",IF($C$9=119,VLOOKUP(B130,'Tabela 130 '!$A$5:$T$2711,MATCH($F$9,'Tabela 130 '!$A$5:$T$5,0),FALSE),IF($C$9=553,VLOOKUP(B130,#REF!,MATCH($F$9,#REF!,0),FALSE),IF($C$9=552,VLOOKUP(B130,#REF!,MATCH($F$9,#REF!,0),FALSE),IF($C$9=551,VLOOKUP(B130,#REF!,MATCH($F$9,#REF!,0),FALSE))))))))),"REF. NÃO CADASTRADA NA TABELA")</f>
        <v/>
      </c>
      <c r="H130" s="36"/>
      <c r="I130" s="37" t="str">
        <f t="shared" si="0"/>
        <v/>
      </c>
      <c r="J130" s="33" t="str">
        <f t="shared" si="1"/>
        <v/>
      </c>
      <c r="K130" s="38" t="str">
        <f>IF($F$6="","",IF(B130="","",IF(C130="REF. NÃO CADASTRADA NA TABELA","",IFERROR(VLOOKUP(B130,#REF!,VLOOKUP($F$6,'BASE CONTÁBIL'!N:O,2,FALSE),FALSE),0))))</f>
        <v/>
      </c>
      <c r="L130" s="35" t="str">
        <f t="shared" si="2"/>
        <v/>
      </c>
      <c r="M130" s="35" t="str">
        <f t="shared" si="3"/>
        <v/>
      </c>
      <c r="N130" s="35" t="str">
        <f t="shared" si="4"/>
        <v/>
      </c>
      <c r="O130" s="35" t="str">
        <f t="shared" si="5"/>
        <v/>
      </c>
      <c r="P130" s="33" t="e">
        <f t="shared" si="6"/>
        <v>#REF!</v>
      </c>
      <c r="Q130" s="2"/>
      <c r="R130" s="2"/>
      <c r="S130" s="2"/>
      <c r="T130" s="2"/>
      <c r="U130" s="2"/>
    </row>
    <row r="131" spans="1:21" ht="12.75" customHeight="1" x14ac:dyDescent="0.2">
      <c r="A131" s="2"/>
      <c r="B131" s="31"/>
      <c r="C131" s="32" t="str">
        <f>IFERROR((IF(B131="","",IF($F$6="","Informar UF / Tabela / Prazo de Pagamento",IF($F$9="","Informar UF / Tabela / Prazo de Pagamento",IF($C$9="","Informar UF / Tabela / Prazo de Pagamento",VLOOKUP(B131,'Tabela 130 '!$A$5:$T$1001,2,FALSE)))))),"REF. NÃO CADASTRADA NA TABELA")</f>
        <v/>
      </c>
      <c r="D131" s="33" t="str">
        <f>IF('FOLHA DE PEDIDO '!B131="","",IF(C131="REF. NÃO CADASTRADA NA TABELA","",VLOOKUP(B131,'Tabela 130 '!$A$5:$AI$801,3,FALSE)))</f>
        <v/>
      </c>
      <c r="E131" s="34"/>
      <c r="F131" s="34"/>
      <c r="G131" s="35" t="str">
        <f>IFERROR(IF(C131="REF. NÃO CADASTRADA NA TABELA","",IF($C$9="","",IF($F$9="","",IF(B131="","",IF($C$9=119,VLOOKUP(B131,'Tabela 130 '!$A$5:$T$2711,MATCH($F$9,'Tabela 130 '!$A$5:$T$5,0),FALSE),IF($C$9=553,VLOOKUP(B131,#REF!,MATCH($F$9,#REF!,0),FALSE),IF($C$9=552,VLOOKUP(B131,#REF!,MATCH($F$9,#REF!,0),FALSE),IF($C$9=551,VLOOKUP(B131,#REF!,MATCH($F$9,#REF!,0),FALSE))))))))),"REF. NÃO CADASTRADA NA TABELA")</f>
        <v/>
      </c>
      <c r="H131" s="36"/>
      <c r="I131" s="37" t="str">
        <f t="shared" si="0"/>
        <v/>
      </c>
      <c r="J131" s="33" t="str">
        <f t="shared" si="1"/>
        <v/>
      </c>
      <c r="K131" s="38" t="str">
        <f>IF($F$6="","",IF(B131="","",IF(C131="REF. NÃO CADASTRADA NA TABELA","",IFERROR(VLOOKUP(B131,#REF!,VLOOKUP($F$6,'BASE CONTÁBIL'!N:O,2,FALSE),FALSE),0))))</f>
        <v/>
      </c>
      <c r="L131" s="35" t="str">
        <f t="shared" si="2"/>
        <v/>
      </c>
      <c r="M131" s="35" t="str">
        <f t="shared" si="3"/>
        <v/>
      </c>
      <c r="N131" s="35" t="str">
        <f t="shared" si="4"/>
        <v/>
      </c>
      <c r="O131" s="35" t="str">
        <f t="shared" si="5"/>
        <v/>
      </c>
      <c r="P131" s="33" t="e">
        <f t="shared" si="6"/>
        <v>#REF!</v>
      </c>
      <c r="Q131" s="2"/>
      <c r="R131" s="2"/>
      <c r="S131" s="2"/>
      <c r="T131" s="2"/>
      <c r="U131" s="2"/>
    </row>
    <row r="132" spans="1:21" ht="12.75" customHeight="1" x14ac:dyDescent="0.2">
      <c r="A132" s="2"/>
      <c r="B132" s="31"/>
      <c r="C132" s="32" t="str">
        <f>IFERROR((IF(B132="","",IF($F$6="","Informar UF / Tabela / Prazo de Pagamento",IF($F$9="","Informar UF / Tabela / Prazo de Pagamento",IF($C$9="","Informar UF / Tabela / Prazo de Pagamento",VLOOKUP(B132,'Tabela 130 '!$A$5:$T$1001,2,FALSE)))))),"REF. NÃO CADASTRADA NA TABELA")</f>
        <v/>
      </c>
      <c r="D132" s="33" t="str">
        <f>IF('FOLHA DE PEDIDO '!B132="","",IF(C132="REF. NÃO CADASTRADA NA TABELA","",VLOOKUP(B132,'Tabela 130 '!$A$5:$AI$801,3,FALSE)))</f>
        <v/>
      </c>
      <c r="E132" s="34"/>
      <c r="F132" s="34"/>
      <c r="G132" s="35" t="str">
        <f>IFERROR(IF(C132="REF. NÃO CADASTRADA NA TABELA","",IF($C$9="","",IF($F$9="","",IF(B132="","",IF($C$9=119,VLOOKUP(B132,'Tabela 130 '!$A$5:$T$2711,MATCH($F$9,'Tabela 130 '!$A$5:$T$5,0),FALSE),IF($C$9=553,VLOOKUP(B132,#REF!,MATCH($F$9,#REF!,0),FALSE),IF($C$9=552,VLOOKUP(B132,#REF!,MATCH($F$9,#REF!,0),FALSE),IF($C$9=551,VLOOKUP(B132,#REF!,MATCH($F$9,#REF!,0),FALSE))))))))),"REF. NÃO CADASTRADA NA TABELA")</f>
        <v/>
      </c>
      <c r="H132" s="36"/>
      <c r="I132" s="37" t="str">
        <f t="shared" si="0"/>
        <v/>
      </c>
      <c r="J132" s="33" t="str">
        <f t="shared" si="1"/>
        <v/>
      </c>
      <c r="K132" s="38" t="str">
        <f>IF($F$6="","",IF(B132="","",IF(C132="REF. NÃO CADASTRADA NA TABELA","",IFERROR(VLOOKUP(B132,#REF!,VLOOKUP($F$6,'BASE CONTÁBIL'!N:O,2,FALSE),FALSE),0))))</f>
        <v/>
      </c>
      <c r="L132" s="35" t="str">
        <f t="shared" si="2"/>
        <v/>
      </c>
      <c r="M132" s="35" t="str">
        <f t="shared" si="3"/>
        <v/>
      </c>
      <c r="N132" s="35" t="str">
        <f t="shared" si="4"/>
        <v/>
      </c>
      <c r="O132" s="35" t="str">
        <f t="shared" si="5"/>
        <v/>
      </c>
      <c r="P132" s="33" t="e">
        <f t="shared" si="6"/>
        <v>#REF!</v>
      </c>
      <c r="Q132" s="2"/>
      <c r="R132" s="2"/>
      <c r="S132" s="2"/>
      <c r="T132" s="2"/>
      <c r="U132" s="2"/>
    </row>
    <row r="133" spans="1:21" ht="12.75" customHeight="1" x14ac:dyDescent="0.2">
      <c r="A133" s="2"/>
      <c r="B133" s="31"/>
      <c r="C133" s="32" t="str">
        <f>IFERROR((IF(B133="","",IF($F$6="","Informar UF / Tabela / Prazo de Pagamento",IF($F$9="","Informar UF / Tabela / Prazo de Pagamento",IF($C$9="","Informar UF / Tabela / Prazo de Pagamento",VLOOKUP(B133,'Tabela 130 '!$A$5:$T$1001,2,FALSE)))))),"REF. NÃO CADASTRADA NA TABELA")</f>
        <v/>
      </c>
      <c r="D133" s="33" t="str">
        <f>IF('FOLHA DE PEDIDO '!B133="","",IF(C133="REF. NÃO CADASTRADA NA TABELA","",VLOOKUP(B133,'Tabela 130 '!$A$5:$AI$801,3,FALSE)))</f>
        <v/>
      </c>
      <c r="E133" s="34"/>
      <c r="F133" s="34"/>
      <c r="G133" s="35" t="str">
        <f>IFERROR(IF(C133="REF. NÃO CADASTRADA NA TABELA","",IF($C$9="","",IF($F$9="","",IF(B133="","",IF($C$9=119,VLOOKUP(B133,'Tabela 130 '!$A$5:$T$2711,MATCH($F$9,'Tabela 130 '!$A$5:$T$5,0),FALSE),IF($C$9=553,VLOOKUP(B133,#REF!,MATCH($F$9,#REF!,0),FALSE),IF($C$9=552,VLOOKUP(B133,#REF!,MATCH($F$9,#REF!,0),FALSE),IF($C$9=551,VLOOKUP(B133,#REF!,MATCH($F$9,#REF!,0),FALSE))))))))),"REF. NÃO CADASTRADA NA TABELA")</f>
        <v/>
      </c>
      <c r="H133" s="36"/>
      <c r="I133" s="37" t="str">
        <f t="shared" si="0"/>
        <v/>
      </c>
      <c r="J133" s="33" t="str">
        <f t="shared" si="1"/>
        <v/>
      </c>
      <c r="K133" s="38" t="str">
        <f>IF($F$6="","",IF(B133="","",IF(C133="REF. NÃO CADASTRADA NA TABELA","",IFERROR(VLOOKUP(B133,#REF!,VLOOKUP($F$6,'BASE CONTÁBIL'!N:O,2,FALSE),FALSE),0))))</f>
        <v/>
      </c>
      <c r="L133" s="35" t="str">
        <f t="shared" si="2"/>
        <v/>
      </c>
      <c r="M133" s="35" t="str">
        <f t="shared" si="3"/>
        <v/>
      </c>
      <c r="N133" s="35" t="str">
        <f t="shared" si="4"/>
        <v/>
      </c>
      <c r="O133" s="35" t="str">
        <f t="shared" si="5"/>
        <v/>
      </c>
      <c r="P133" s="33" t="e">
        <f t="shared" si="6"/>
        <v>#REF!</v>
      </c>
      <c r="Q133" s="2"/>
      <c r="R133" s="2"/>
      <c r="S133" s="2"/>
      <c r="T133" s="2"/>
      <c r="U133" s="2"/>
    </row>
    <row r="134" spans="1:21" ht="12.75" customHeight="1" x14ac:dyDescent="0.2">
      <c r="A134" s="2"/>
      <c r="B134" s="31"/>
      <c r="C134" s="32" t="str">
        <f>IFERROR((IF(B134="","",IF($F$6="","Informar UF / Tabela / Prazo de Pagamento",IF($F$9="","Informar UF / Tabela / Prazo de Pagamento",IF($C$9="","Informar UF / Tabela / Prazo de Pagamento",VLOOKUP(B134,'Tabela 130 '!$A$5:$T$1001,2,FALSE)))))),"REF. NÃO CADASTRADA NA TABELA")</f>
        <v/>
      </c>
      <c r="D134" s="33" t="str">
        <f>IF('FOLHA DE PEDIDO '!B134="","",IF(C134="REF. NÃO CADASTRADA NA TABELA","",VLOOKUP(B134,'Tabela 130 '!$A$5:$AI$801,3,FALSE)))</f>
        <v/>
      </c>
      <c r="E134" s="34"/>
      <c r="F134" s="34"/>
      <c r="G134" s="35" t="str">
        <f>IFERROR(IF(C134="REF. NÃO CADASTRADA NA TABELA","",IF($C$9="","",IF($F$9="","",IF(B134="","",IF($C$9=119,VLOOKUP(B134,'Tabela 130 '!$A$5:$T$2711,MATCH($F$9,'Tabela 130 '!$A$5:$T$5,0),FALSE),IF($C$9=553,VLOOKUP(B134,#REF!,MATCH($F$9,#REF!,0),FALSE),IF($C$9=552,VLOOKUP(B134,#REF!,MATCH($F$9,#REF!,0),FALSE),IF($C$9=551,VLOOKUP(B134,#REF!,MATCH($F$9,#REF!,0),FALSE))))))))),"REF. NÃO CADASTRADA NA TABELA")</f>
        <v/>
      </c>
      <c r="H134" s="36"/>
      <c r="I134" s="37" t="str">
        <f t="shared" si="0"/>
        <v/>
      </c>
      <c r="J134" s="33" t="str">
        <f t="shared" si="1"/>
        <v/>
      </c>
      <c r="K134" s="38" t="str">
        <f>IF($F$6="","",IF(B134="","",IF(C134="REF. NÃO CADASTRADA NA TABELA","",IFERROR(VLOOKUP(B134,#REF!,VLOOKUP($F$6,'BASE CONTÁBIL'!N:O,2,FALSE),FALSE),0))))</f>
        <v/>
      </c>
      <c r="L134" s="35" t="str">
        <f t="shared" si="2"/>
        <v/>
      </c>
      <c r="M134" s="35" t="str">
        <f t="shared" si="3"/>
        <v/>
      </c>
      <c r="N134" s="35" t="str">
        <f t="shared" si="4"/>
        <v/>
      </c>
      <c r="O134" s="35" t="str">
        <f t="shared" si="5"/>
        <v/>
      </c>
      <c r="P134" s="33" t="e">
        <f t="shared" si="6"/>
        <v>#REF!</v>
      </c>
      <c r="Q134" s="2"/>
      <c r="R134" s="2"/>
      <c r="S134" s="2"/>
      <c r="T134" s="2"/>
      <c r="U134" s="2"/>
    </row>
    <row r="135" spans="1:21" ht="12.75" customHeight="1" x14ac:dyDescent="0.2">
      <c r="A135" s="2"/>
      <c r="B135" s="31"/>
      <c r="C135" s="32" t="str">
        <f>IFERROR((IF(B135="","",IF($F$6="","Informar UF / Tabela / Prazo de Pagamento",IF($F$9="","Informar UF / Tabela / Prazo de Pagamento",IF($C$9="","Informar UF / Tabela / Prazo de Pagamento",VLOOKUP(B135,'Tabela 130 '!$A$5:$T$1001,2,FALSE)))))),"REF. NÃO CADASTRADA NA TABELA")</f>
        <v/>
      </c>
      <c r="D135" s="33" t="str">
        <f>IF('FOLHA DE PEDIDO '!B135="","",IF(C135="REF. NÃO CADASTRADA NA TABELA","",VLOOKUP(B135,'Tabela 130 '!$A$5:$AI$801,3,FALSE)))</f>
        <v/>
      </c>
      <c r="E135" s="34"/>
      <c r="F135" s="34"/>
      <c r="G135" s="35" t="str">
        <f>IFERROR(IF(C135="REF. NÃO CADASTRADA NA TABELA","",IF($C$9="","",IF($F$9="","",IF(B135="","",IF($C$9=119,VLOOKUP(B135,'Tabela 130 '!$A$5:$T$2711,MATCH($F$9,'Tabela 130 '!$A$5:$T$5,0),FALSE),IF($C$9=553,VLOOKUP(B135,#REF!,MATCH($F$9,#REF!,0),FALSE),IF($C$9=552,VLOOKUP(B135,#REF!,MATCH($F$9,#REF!,0),FALSE),IF($C$9=551,VLOOKUP(B135,#REF!,MATCH($F$9,#REF!,0),FALSE))))))))),"REF. NÃO CADASTRADA NA TABELA")</f>
        <v/>
      </c>
      <c r="H135" s="36"/>
      <c r="I135" s="37" t="str">
        <f t="shared" si="0"/>
        <v/>
      </c>
      <c r="J135" s="33" t="str">
        <f t="shared" si="1"/>
        <v/>
      </c>
      <c r="K135" s="38" t="str">
        <f>IF($F$6="","",IF(B135="","",IF(C135="REF. NÃO CADASTRADA NA TABELA","",IFERROR(VLOOKUP(B135,#REF!,VLOOKUP($F$6,'BASE CONTÁBIL'!N:O,2,FALSE),FALSE),0))))</f>
        <v/>
      </c>
      <c r="L135" s="35" t="str">
        <f t="shared" si="2"/>
        <v/>
      </c>
      <c r="M135" s="35" t="str">
        <f t="shared" si="3"/>
        <v/>
      </c>
      <c r="N135" s="35" t="str">
        <f t="shared" si="4"/>
        <v/>
      </c>
      <c r="O135" s="35" t="str">
        <f t="shared" si="5"/>
        <v/>
      </c>
      <c r="P135" s="33" t="e">
        <f t="shared" si="6"/>
        <v>#REF!</v>
      </c>
      <c r="Q135" s="2"/>
      <c r="R135" s="2"/>
      <c r="S135" s="2"/>
      <c r="T135" s="2"/>
      <c r="U135" s="2"/>
    </row>
    <row r="136" spans="1:21" ht="12.75" customHeight="1" x14ac:dyDescent="0.2">
      <c r="A136" s="2"/>
      <c r="B136" s="31"/>
      <c r="C136" s="32" t="str">
        <f>IFERROR((IF(B136="","",IF($F$6="","Informar UF / Tabela / Prazo de Pagamento",IF($F$9="","Informar UF / Tabela / Prazo de Pagamento",IF($C$9="","Informar UF / Tabela / Prazo de Pagamento",VLOOKUP(B136,'Tabela 130 '!$A$5:$T$1001,2,FALSE)))))),"REF. NÃO CADASTRADA NA TABELA")</f>
        <v/>
      </c>
      <c r="D136" s="33" t="str">
        <f>IF('FOLHA DE PEDIDO '!B136="","",IF(C136="REF. NÃO CADASTRADA NA TABELA","",VLOOKUP(B136,'Tabela 130 '!$A$5:$AI$801,3,FALSE)))</f>
        <v/>
      </c>
      <c r="E136" s="34"/>
      <c r="F136" s="34"/>
      <c r="G136" s="35" t="str">
        <f>IFERROR(IF(C136="REF. NÃO CADASTRADA NA TABELA","",IF($C$9="","",IF($F$9="","",IF(B136="","",IF($C$9=119,VLOOKUP(B136,'Tabela 130 '!$A$5:$T$2711,MATCH($F$9,'Tabela 130 '!$A$5:$T$5,0),FALSE),IF($C$9=553,VLOOKUP(B136,#REF!,MATCH($F$9,#REF!,0),FALSE),IF($C$9=552,VLOOKUP(B136,#REF!,MATCH($F$9,#REF!,0),FALSE),IF($C$9=551,VLOOKUP(B136,#REF!,MATCH($F$9,#REF!,0),FALSE))))))))),"REF. NÃO CADASTRADA NA TABELA")</f>
        <v/>
      </c>
      <c r="H136" s="36"/>
      <c r="I136" s="37" t="str">
        <f t="shared" si="0"/>
        <v/>
      </c>
      <c r="J136" s="33" t="str">
        <f t="shared" si="1"/>
        <v/>
      </c>
      <c r="K136" s="38" t="str">
        <f>IF($F$6="","",IF(B136="","",IF(C136="REF. NÃO CADASTRADA NA TABELA","",IFERROR(VLOOKUP(B136,#REF!,VLOOKUP($F$6,'BASE CONTÁBIL'!N:O,2,FALSE),FALSE),0))))</f>
        <v/>
      </c>
      <c r="L136" s="35" t="str">
        <f t="shared" si="2"/>
        <v/>
      </c>
      <c r="M136" s="35" t="str">
        <f t="shared" si="3"/>
        <v/>
      </c>
      <c r="N136" s="35" t="str">
        <f t="shared" si="4"/>
        <v/>
      </c>
      <c r="O136" s="35" t="str">
        <f t="shared" si="5"/>
        <v/>
      </c>
      <c r="P136" s="33" t="e">
        <f t="shared" si="6"/>
        <v>#REF!</v>
      </c>
      <c r="Q136" s="2"/>
      <c r="R136" s="2"/>
      <c r="S136" s="2"/>
      <c r="T136" s="2"/>
      <c r="U136" s="2"/>
    </row>
    <row r="137" spans="1:21" ht="12.75" customHeight="1" x14ac:dyDescent="0.2">
      <c r="A137" s="2"/>
      <c r="B137" s="31"/>
      <c r="C137" s="32" t="str">
        <f>IFERROR((IF(B137="","",IF($F$6="","Informar UF / Tabela / Prazo de Pagamento",IF($F$9="","Informar UF / Tabela / Prazo de Pagamento",IF($C$9="","Informar UF / Tabela / Prazo de Pagamento",VLOOKUP(B137,'Tabela 130 '!$A$5:$T$1001,2,FALSE)))))),"REF. NÃO CADASTRADA NA TABELA")</f>
        <v/>
      </c>
      <c r="D137" s="33" t="str">
        <f>IF('FOLHA DE PEDIDO '!B137="","",IF(C137="REF. NÃO CADASTRADA NA TABELA","",VLOOKUP(B137,'Tabela 130 '!$A$5:$AI$801,3,FALSE)))</f>
        <v/>
      </c>
      <c r="E137" s="34"/>
      <c r="F137" s="34"/>
      <c r="G137" s="35" t="str">
        <f>IFERROR(IF(C137="REF. NÃO CADASTRADA NA TABELA","",IF($C$9="","",IF($F$9="","",IF(B137="","",IF($C$9=119,VLOOKUP(B137,'Tabela 130 '!$A$5:$T$2711,MATCH($F$9,'Tabela 130 '!$A$5:$T$5,0),FALSE),IF($C$9=553,VLOOKUP(B137,#REF!,MATCH($F$9,#REF!,0),FALSE),IF($C$9=552,VLOOKUP(B137,#REF!,MATCH($F$9,#REF!,0),FALSE),IF($C$9=551,VLOOKUP(B137,#REF!,MATCH($F$9,#REF!,0),FALSE))))))))),"REF. NÃO CADASTRADA NA TABELA")</f>
        <v/>
      </c>
      <c r="H137" s="36"/>
      <c r="I137" s="37" t="str">
        <f t="shared" si="0"/>
        <v/>
      </c>
      <c r="J137" s="33" t="str">
        <f t="shared" si="1"/>
        <v/>
      </c>
      <c r="K137" s="38" t="str">
        <f>IF($F$6="","",IF(B137="","",IF(C137="REF. NÃO CADASTRADA NA TABELA","",IFERROR(VLOOKUP(B137,#REF!,VLOOKUP($F$6,'BASE CONTÁBIL'!N:O,2,FALSE),FALSE),0))))</f>
        <v/>
      </c>
      <c r="L137" s="35" t="str">
        <f t="shared" si="2"/>
        <v/>
      </c>
      <c r="M137" s="35" t="str">
        <f t="shared" si="3"/>
        <v/>
      </c>
      <c r="N137" s="35" t="str">
        <f t="shared" si="4"/>
        <v/>
      </c>
      <c r="O137" s="35" t="str">
        <f t="shared" si="5"/>
        <v/>
      </c>
      <c r="P137" s="33" t="e">
        <f t="shared" si="6"/>
        <v>#REF!</v>
      </c>
      <c r="Q137" s="2"/>
      <c r="R137" s="2"/>
      <c r="S137" s="2"/>
      <c r="T137" s="2"/>
      <c r="U137" s="2"/>
    </row>
    <row r="138" spans="1:21" ht="12.75" customHeight="1" x14ac:dyDescent="0.2">
      <c r="A138" s="2"/>
      <c r="B138" s="31"/>
      <c r="C138" s="32" t="str">
        <f>IFERROR((IF(B138="","",IF($F$6="","Informar UF / Tabela / Prazo de Pagamento",IF($F$9="","Informar UF / Tabela / Prazo de Pagamento",IF($C$9="","Informar UF / Tabela / Prazo de Pagamento",VLOOKUP(B138,'Tabela 130 '!$A$5:$T$1001,2,FALSE)))))),"REF. NÃO CADASTRADA NA TABELA")</f>
        <v/>
      </c>
      <c r="D138" s="33" t="str">
        <f>IF('FOLHA DE PEDIDO '!B138="","",IF(C138="REF. NÃO CADASTRADA NA TABELA","",VLOOKUP(B138,'Tabela 130 '!$A$5:$AI$801,3,FALSE)))</f>
        <v/>
      </c>
      <c r="E138" s="34"/>
      <c r="F138" s="34"/>
      <c r="G138" s="35" t="str">
        <f>IFERROR(IF(C138="REF. NÃO CADASTRADA NA TABELA","",IF($C$9="","",IF($F$9="","",IF(B138="","",IF($C$9=119,VLOOKUP(B138,'Tabela 130 '!$A$5:$T$2711,MATCH($F$9,'Tabela 130 '!$A$5:$T$5,0),FALSE),IF($C$9=553,VLOOKUP(B138,#REF!,MATCH($F$9,#REF!,0),FALSE),IF($C$9=552,VLOOKUP(B138,#REF!,MATCH($F$9,#REF!,0),FALSE),IF($C$9=551,VLOOKUP(B138,#REF!,MATCH($F$9,#REF!,0),FALSE))))))))),"REF. NÃO CADASTRADA NA TABELA")</f>
        <v/>
      </c>
      <c r="H138" s="36"/>
      <c r="I138" s="37" t="str">
        <f t="shared" si="0"/>
        <v/>
      </c>
      <c r="J138" s="33" t="str">
        <f t="shared" si="1"/>
        <v/>
      </c>
      <c r="K138" s="38" t="str">
        <f>IF($F$6="","",IF(B138="","",IF(C138="REF. NÃO CADASTRADA NA TABELA","",IFERROR(VLOOKUP(B138,#REF!,VLOOKUP($F$6,'BASE CONTÁBIL'!N:O,2,FALSE),FALSE),0))))</f>
        <v/>
      </c>
      <c r="L138" s="35" t="str">
        <f t="shared" si="2"/>
        <v/>
      </c>
      <c r="M138" s="35" t="str">
        <f t="shared" si="3"/>
        <v/>
      </c>
      <c r="N138" s="35" t="str">
        <f t="shared" si="4"/>
        <v/>
      </c>
      <c r="O138" s="35" t="str">
        <f t="shared" si="5"/>
        <v/>
      </c>
      <c r="P138" s="33" t="e">
        <f t="shared" si="6"/>
        <v>#REF!</v>
      </c>
      <c r="Q138" s="2"/>
      <c r="R138" s="2"/>
      <c r="S138" s="2"/>
      <c r="T138" s="2"/>
      <c r="U138" s="2"/>
    </row>
    <row r="139" spans="1:21" ht="12.75" customHeight="1" x14ac:dyDescent="0.2">
      <c r="A139" s="2"/>
      <c r="B139" s="31"/>
      <c r="C139" s="32" t="str">
        <f>IFERROR((IF(B139="","",IF($F$6="","Informar UF / Tabela / Prazo de Pagamento",IF($F$9="","Informar UF / Tabela / Prazo de Pagamento",IF($C$9="","Informar UF / Tabela / Prazo de Pagamento",VLOOKUP(B139,'Tabela 130 '!$A$5:$T$1001,2,FALSE)))))),"REF. NÃO CADASTRADA NA TABELA")</f>
        <v/>
      </c>
      <c r="D139" s="33" t="str">
        <f>IF('FOLHA DE PEDIDO '!B139="","",IF(C139="REF. NÃO CADASTRADA NA TABELA","",VLOOKUP(B139,'Tabela 130 '!$A$5:$AI$801,3,FALSE)))</f>
        <v/>
      </c>
      <c r="E139" s="34"/>
      <c r="F139" s="34"/>
      <c r="G139" s="35" t="str">
        <f>IFERROR(IF(C139="REF. NÃO CADASTRADA NA TABELA","",IF($C$9="","",IF($F$9="","",IF(B139="","",IF($C$9=119,VLOOKUP(B139,'Tabela 130 '!$A$5:$T$2711,MATCH($F$9,'Tabela 130 '!$A$5:$T$5,0),FALSE),IF($C$9=553,VLOOKUP(B139,#REF!,MATCH($F$9,#REF!,0),FALSE),IF($C$9=552,VLOOKUP(B139,#REF!,MATCH($F$9,#REF!,0),FALSE),IF($C$9=551,VLOOKUP(B139,#REF!,MATCH($F$9,#REF!,0),FALSE))))))))),"REF. NÃO CADASTRADA NA TABELA")</f>
        <v/>
      </c>
      <c r="H139" s="36"/>
      <c r="I139" s="37" t="str">
        <f t="shared" si="0"/>
        <v/>
      </c>
      <c r="J139" s="33" t="str">
        <f t="shared" si="1"/>
        <v/>
      </c>
      <c r="K139" s="38" t="str">
        <f>IF($F$6="","",IF(B139="","",IF(C139="REF. NÃO CADASTRADA NA TABELA","",IFERROR(VLOOKUP(B139,#REF!,VLOOKUP($F$6,'BASE CONTÁBIL'!N:O,2,FALSE),FALSE),0))))</f>
        <v/>
      </c>
      <c r="L139" s="35" t="str">
        <f t="shared" si="2"/>
        <v/>
      </c>
      <c r="M139" s="35" t="str">
        <f t="shared" si="3"/>
        <v/>
      </c>
      <c r="N139" s="35" t="str">
        <f t="shared" si="4"/>
        <v/>
      </c>
      <c r="O139" s="35" t="str">
        <f t="shared" si="5"/>
        <v/>
      </c>
      <c r="P139" s="33" t="e">
        <f t="shared" si="6"/>
        <v>#REF!</v>
      </c>
      <c r="Q139" s="2"/>
      <c r="R139" s="2"/>
      <c r="S139" s="2"/>
      <c r="T139" s="2"/>
      <c r="U139" s="2"/>
    </row>
    <row r="140" spans="1:21" ht="12.75" customHeight="1" x14ac:dyDescent="0.2">
      <c r="A140" s="2"/>
      <c r="B140" s="31"/>
      <c r="C140" s="32" t="str">
        <f>IFERROR((IF(B140="","",IF($F$6="","Informar UF / Tabela / Prazo de Pagamento",IF($F$9="","Informar UF / Tabela / Prazo de Pagamento",IF($C$9="","Informar UF / Tabela / Prazo de Pagamento",VLOOKUP(B140,'Tabela 130 '!$A$5:$T$1001,2,FALSE)))))),"REF. NÃO CADASTRADA NA TABELA")</f>
        <v/>
      </c>
      <c r="D140" s="33" t="str">
        <f>IF('FOLHA DE PEDIDO '!B140="","",IF(C140="REF. NÃO CADASTRADA NA TABELA","",VLOOKUP(B140,'Tabela 130 '!$A$5:$AI$801,3,FALSE)))</f>
        <v/>
      </c>
      <c r="E140" s="34"/>
      <c r="F140" s="34"/>
      <c r="G140" s="35" t="str">
        <f>IFERROR(IF(C140="REF. NÃO CADASTRADA NA TABELA","",IF($C$9="","",IF($F$9="","",IF(B140="","",IF($C$9=119,VLOOKUP(B140,'Tabela 130 '!$A$5:$T$2711,MATCH($F$9,'Tabela 130 '!$A$5:$T$5,0),FALSE),IF($C$9=553,VLOOKUP(B140,#REF!,MATCH($F$9,#REF!,0),FALSE),IF($C$9=552,VLOOKUP(B140,#REF!,MATCH($F$9,#REF!,0),FALSE),IF($C$9=551,VLOOKUP(B140,#REF!,MATCH($F$9,#REF!,0),FALSE))))))))),"REF. NÃO CADASTRADA NA TABELA")</f>
        <v/>
      </c>
      <c r="H140" s="36"/>
      <c r="I140" s="37" t="str">
        <f t="shared" si="0"/>
        <v/>
      </c>
      <c r="J140" s="33" t="str">
        <f t="shared" si="1"/>
        <v/>
      </c>
      <c r="K140" s="38" t="str">
        <f>IF($F$6="","",IF(B140="","",IF(C140="REF. NÃO CADASTRADA NA TABELA","",IFERROR(VLOOKUP(B140,#REF!,VLOOKUP($F$6,'BASE CONTÁBIL'!N:O,2,FALSE),FALSE),0))))</f>
        <v/>
      </c>
      <c r="L140" s="35" t="str">
        <f t="shared" si="2"/>
        <v/>
      </c>
      <c r="M140" s="35" t="str">
        <f t="shared" si="3"/>
        <v/>
      </c>
      <c r="N140" s="35" t="str">
        <f t="shared" si="4"/>
        <v/>
      </c>
      <c r="O140" s="35" t="str">
        <f t="shared" si="5"/>
        <v/>
      </c>
      <c r="P140" s="33" t="e">
        <f t="shared" si="6"/>
        <v>#REF!</v>
      </c>
      <c r="Q140" s="2"/>
      <c r="R140" s="2"/>
      <c r="S140" s="2"/>
      <c r="T140" s="2"/>
      <c r="U140" s="2"/>
    </row>
    <row r="141" spans="1:21" ht="12.75" customHeight="1" x14ac:dyDescent="0.2">
      <c r="A141" s="2"/>
      <c r="B141" s="31"/>
      <c r="C141" s="32" t="str">
        <f>IFERROR((IF(B141="","",IF($F$6="","Informar UF / Tabela / Prazo de Pagamento",IF($F$9="","Informar UF / Tabela / Prazo de Pagamento",IF($C$9="","Informar UF / Tabela / Prazo de Pagamento",VLOOKUP(B141,'Tabela 130 '!$A$5:$T$1001,2,FALSE)))))),"REF. NÃO CADASTRADA NA TABELA")</f>
        <v/>
      </c>
      <c r="D141" s="33" t="str">
        <f>IF('FOLHA DE PEDIDO '!B141="","",IF(C141="REF. NÃO CADASTRADA NA TABELA","",VLOOKUP(B141,'Tabela 130 '!$A$5:$AI$801,3,FALSE)))</f>
        <v/>
      </c>
      <c r="E141" s="34"/>
      <c r="F141" s="34"/>
      <c r="G141" s="35" t="str">
        <f>IFERROR(IF(C141="REF. NÃO CADASTRADA NA TABELA","",IF($C$9="","",IF($F$9="","",IF(B141="","",IF($C$9=119,VLOOKUP(B141,'Tabela 130 '!$A$5:$T$2711,MATCH($F$9,'Tabela 130 '!$A$5:$T$5,0),FALSE),IF($C$9=553,VLOOKUP(B141,#REF!,MATCH($F$9,#REF!,0),FALSE),IF($C$9=552,VLOOKUP(B141,#REF!,MATCH($F$9,#REF!,0),FALSE),IF($C$9=551,VLOOKUP(B141,#REF!,MATCH($F$9,#REF!,0),FALSE))))))))),"REF. NÃO CADASTRADA NA TABELA")</f>
        <v/>
      </c>
      <c r="H141" s="36"/>
      <c r="I141" s="37" t="str">
        <f t="shared" si="0"/>
        <v/>
      </c>
      <c r="J141" s="33" t="str">
        <f t="shared" si="1"/>
        <v/>
      </c>
      <c r="K141" s="38" t="str">
        <f>IF($F$6="","",IF(B141="","",IF(C141="REF. NÃO CADASTRADA NA TABELA","",IFERROR(VLOOKUP(B141,#REF!,VLOOKUP($F$6,'BASE CONTÁBIL'!N:O,2,FALSE),FALSE),0))))</f>
        <v/>
      </c>
      <c r="L141" s="35" t="str">
        <f t="shared" si="2"/>
        <v/>
      </c>
      <c r="M141" s="35" t="str">
        <f t="shared" si="3"/>
        <v/>
      </c>
      <c r="N141" s="35" t="str">
        <f t="shared" si="4"/>
        <v/>
      </c>
      <c r="O141" s="35" t="str">
        <f t="shared" si="5"/>
        <v/>
      </c>
      <c r="P141" s="33" t="e">
        <f t="shared" si="6"/>
        <v>#REF!</v>
      </c>
      <c r="Q141" s="2"/>
      <c r="R141" s="2"/>
      <c r="S141" s="2"/>
      <c r="T141" s="2"/>
      <c r="U141" s="2"/>
    </row>
    <row r="142" spans="1:21" ht="12.75" customHeight="1" x14ac:dyDescent="0.2">
      <c r="A142" s="2"/>
      <c r="B142" s="31"/>
      <c r="C142" s="32" t="str">
        <f>IFERROR((IF(B142="","",IF($F$6="","Informar UF / Tabela / Prazo de Pagamento",IF($F$9="","Informar UF / Tabela / Prazo de Pagamento",IF($C$9="","Informar UF / Tabela / Prazo de Pagamento",VLOOKUP(B142,'Tabela 130 '!$A$5:$T$1001,2,FALSE)))))),"REF. NÃO CADASTRADA NA TABELA")</f>
        <v/>
      </c>
      <c r="D142" s="33" t="str">
        <f>IF('FOLHA DE PEDIDO '!B142="","",IF(C142="REF. NÃO CADASTRADA NA TABELA","",VLOOKUP(B142,'Tabela 130 '!$A$5:$AI$801,3,FALSE)))</f>
        <v/>
      </c>
      <c r="E142" s="34"/>
      <c r="F142" s="34"/>
      <c r="G142" s="35" t="str">
        <f>IFERROR(IF(C142="REF. NÃO CADASTRADA NA TABELA","",IF($C$9="","",IF($F$9="","",IF(B142="","",IF($C$9=119,VLOOKUP(B142,'Tabela 130 '!$A$5:$T$2711,MATCH($F$9,'Tabela 130 '!$A$5:$T$5,0),FALSE),IF($C$9=553,VLOOKUP(B142,#REF!,MATCH($F$9,#REF!,0),FALSE),IF($C$9=552,VLOOKUP(B142,#REF!,MATCH($F$9,#REF!,0),FALSE),IF($C$9=551,VLOOKUP(B142,#REF!,MATCH($F$9,#REF!,0),FALSE))))))))),"REF. NÃO CADASTRADA NA TABELA")</f>
        <v/>
      </c>
      <c r="H142" s="36"/>
      <c r="I142" s="37" t="str">
        <f t="shared" si="0"/>
        <v/>
      </c>
      <c r="J142" s="33" t="str">
        <f t="shared" si="1"/>
        <v/>
      </c>
      <c r="K142" s="38" t="str">
        <f>IF($F$6="","",IF(B142="","",IF(C142="REF. NÃO CADASTRADA NA TABELA","",IFERROR(VLOOKUP(B142,#REF!,VLOOKUP($F$6,'BASE CONTÁBIL'!N:O,2,FALSE),FALSE),0))))</f>
        <v/>
      </c>
      <c r="L142" s="35" t="str">
        <f t="shared" si="2"/>
        <v/>
      </c>
      <c r="M142" s="35" t="str">
        <f t="shared" si="3"/>
        <v/>
      </c>
      <c r="N142" s="35" t="str">
        <f t="shared" si="4"/>
        <v/>
      </c>
      <c r="O142" s="35" t="str">
        <f t="shared" si="5"/>
        <v/>
      </c>
      <c r="P142" s="33" t="e">
        <f t="shared" si="6"/>
        <v>#REF!</v>
      </c>
      <c r="Q142" s="2"/>
      <c r="R142" s="2"/>
      <c r="S142" s="2"/>
      <c r="T142" s="2"/>
      <c r="U142" s="2"/>
    </row>
    <row r="143" spans="1:21" ht="12.75" customHeight="1" x14ac:dyDescent="0.2">
      <c r="A143" s="2"/>
      <c r="B143" s="31"/>
      <c r="C143" s="32" t="str">
        <f>IFERROR((IF(B143="","",IF($F$6="","Informar UF / Tabela / Prazo de Pagamento",IF($F$9="","Informar UF / Tabela / Prazo de Pagamento",IF($C$9="","Informar UF / Tabela / Prazo de Pagamento",VLOOKUP(B143,'Tabela 130 '!$A$5:$T$1001,2,FALSE)))))),"REF. NÃO CADASTRADA NA TABELA")</f>
        <v/>
      </c>
      <c r="D143" s="33" t="str">
        <f>IF('FOLHA DE PEDIDO '!B143="","",IF(C143="REF. NÃO CADASTRADA NA TABELA","",VLOOKUP(B143,'Tabela 130 '!$A$5:$AI$801,3,FALSE)))</f>
        <v/>
      </c>
      <c r="E143" s="34"/>
      <c r="F143" s="34"/>
      <c r="G143" s="35" t="str">
        <f>IFERROR(IF(C143="REF. NÃO CADASTRADA NA TABELA","",IF($C$9="","",IF($F$9="","",IF(B143="","",IF($C$9=119,VLOOKUP(B143,'Tabela 130 '!$A$5:$T$2711,MATCH($F$9,'Tabela 130 '!$A$5:$T$5,0),FALSE),IF($C$9=553,VLOOKUP(B143,#REF!,MATCH($F$9,#REF!,0),FALSE),IF($C$9=552,VLOOKUP(B143,#REF!,MATCH($F$9,#REF!,0),FALSE),IF($C$9=551,VLOOKUP(B143,#REF!,MATCH($F$9,#REF!,0),FALSE))))))))),"REF. NÃO CADASTRADA NA TABELA")</f>
        <v/>
      </c>
      <c r="H143" s="36"/>
      <c r="I143" s="37" t="str">
        <f t="shared" si="0"/>
        <v/>
      </c>
      <c r="J143" s="33" t="str">
        <f t="shared" si="1"/>
        <v/>
      </c>
      <c r="K143" s="38" t="str">
        <f>IF($F$6="","",IF(B143="","",IF(C143="REF. NÃO CADASTRADA NA TABELA","",IFERROR(VLOOKUP(B143,#REF!,VLOOKUP($F$6,'BASE CONTÁBIL'!N:O,2,FALSE),FALSE),0))))</f>
        <v/>
      </c>
      <c r="L143" s="35" t="str">
        <f t="shared" si="2"/>
        <v/>
      </c>
      <c r="M143" s="35" t="str">
        <f t="shared" si="3"/>
        <v/>
      </c>
      <c r="N143" s="35" t="str">
        <f t="shared" si="4"/>
        <v/>
      </c>
      <c r="O143" s="35" t="str">
        <f t="shared" si="5"/>
        <v/>
      </c>
      <c r="P143" s="33" t="e">
        <f t="shared" si="6"/>
        <v>#REF!</v>
      </c>
      <c r="Q143" s="2"/>
      <c r="R143" s="2"/>
      <c r="S143" s="2"/>
      <c r="T143" s="2"/>
      <c r="U143" s="2"/>
    </row>
    <row r="144" spans="1:21" ht="12.75" customHeight="1" x14ac:dyDescent="0.2">
      <c r="A144" s="2"/>
      <c r="B144" s="31"/>
      <c r="C144" s="32" t="str">
        <f>IFERROR((IF(B144="","",IF($F$6="","Informar UF / Tabela / Prazo de Pagamento",IF($F$9="","Informar UF / Tabela / Prazo de Pagamento",IF($C$9="","Informar UF / Tabela / Prazo de Pagamento",VLOOKUP(B144,'Tabela 130 '!$A$5:$T$1001,2,FALSE)))))),"REF. NÃO CADASTRADA NA TABELA")</f>
        <v/>
      </c>
      <c r="D144" s="33" t="str">
        <f>IF('FOLHA DE PEDIDO '!B144="","",IF(C144="REF. NÃO CADASTRADA NA TABELA","",VLOOKUP(B144,'Tabela 130 '!$A$5:$AI$801,3,FALSE)))</f>
        <v/>
      </c>
      <c r="E144" s="34"/>
      <c r="F144" s="34"/>
      <c r="G144" s="35" t="str">
        <f>IFERROR(IF(C144="REF. NÃO CADASTRADA NA TABELA","",IF($C$9="","",IF($F$9="","",IF(B144="","",IF($C$9=119,VLOOKUP(B144,'Tabela 130 '!$A$5:$T$2711,MATCH($F$9,'Tabela 130 '!$A$5:$T$5,0),FALSE),IF($C$9=553,VLOOKUP(B144,#REF!,MATCH($F$9,#REF!,0),FALSE),IF($C$9=552,VLOOKUP(B144,#REF!,MATCH($F$9,#REF!,0),FALSE),IF($C$9=551,VLOOKUP(B144,#REF!,MATCH($F$9,#REF!,0),FALSE))))))))),"REF. NÃO CADASTRADA NA TABELA")</f>
        <v/>
      </c>
      <c r="H144" s="36"/>
      <c r="I144" s="37" t="str">
        <f t="shared" si="0"/>
        <v/>
      </c>
      <c r="J144" s="33" t="str">
        <f t="shared" si="1"/>
        <v/>
      </c>
      <c r="K144" s="38" t="str">
        <f>IF($F$6="","",IF(B144="","",IF(C144="REF. NÃO CADASTRADA NA TABELA","",IFERROR(VLOOKUP(B144,#REF!,VLOOKUP($F$6,'BASE CONTÁBIL'!N:O,2,FALSE),FALSE),0))))</f>
        <v/>
      </c>
      <c r="L144" s="35" t="str">
        <f t="shared" si="2"/>
        <v/>
      </c>
      <c r="M144" s="35" t="str">
        <f t="shared" si="3"/>
        <v/>
      </c>
      <c r="N144" s="35" t="str">
        <f t="shared" si="4"/>
        <v/>
      </c>
      <c r="O144" s="35" t="str">
        <f t="shared" si="5"/>
        <v/>
      </c>
      <c r="P144" s="33" t="e">
        <f t="shared" si="6"/>
        <v>#REF!</v>
      </c>
      <c r="Q144" s="2"/>
      <c r="R144" s="2"/>
      <c r="S144" s="2"/>
      <c r="T144" s="2"/>
      <c r="U144" s="2"/>
    </row>
    <row r="145" spans="1:21" ht="12.75" customHeight="1" x14ac:dyDescent="0.2">
      <c r="A145" s="2"/>
      <c r="B145" s="31"/>
      <c r="C145" s="32" t="str">
        <f>IFERROR((IF(B145="","",IF($F$6="","Informar UF / Tabela / Prazo de Pagamento",IF($F$9="","Informar UF / Tabela / Prazo de Pagamento",IF($C$9="","Informar UF / Tabela / Prazo de Pagamento",VLOOKUP(B145,'Tabela 130 '!$A$5:$T$1001,2,FALSE)))))),"REF. NÃO CADASTRADA NA TABELA")</f>
        <v/>
      </c>
      <c r="D145" s="33" t="str">
        <f>IF('FOLHA DE PEDIDO '!B145="","",IF(C145="REF. NÃO CADASTRADA NA TABELA","",VLOOKUP(B145,'Tabela 130 '!$A$5:$AI$801,3,FALSE)))</f>
        <v/>
      </c>
      <c r="E145" s="34"/>
      <c r="F145" s="34"/>
      <c r="G145" s="35" t="str">
        <f>IFERROR(IF(C145="REF. NÃO CADASTRADA NA TABELA","",IF($C$9="","",IF($F$9="","",IF(B145="","",IF($C$9=119,VLOOKUP(B145,'Tabela 130 '!$A$5:$T$2711,MATCH($F$9,'Tabela 130 '!$A$5:$T$5,0),FALSE),IF($C$9=553,VLOOKUP(B145,#REF!,MATCH($F$9,#REF!,0),FALSE),IF($C$9=552,VLOOKUP(B145,#REF!,MATCH($F$9,#REF!,0),FALSE),IF($C$9=551,VLOOKUP(B145,#REF!,MATCH($F$9,#REF!,0),FALSE))))))))),"REF. NÃO CADASTRADA NA TABELA")</f>
        <v/>
      </c>
      <c r="H145" s="36"/>
      <c r="I145" s="37" t="str">
        <f t="shared" si="0"/>
        <v/>
      </c>
      <c r="J145" s="33" t="str">
        <f t="shared" si="1"/>
        <v/>
      </c>
      <c r="K145" s="38" t="str">
        <f>IF($F$6="","",IF(B145="","",IF(C145="REF. NÃO CADASTRADA NA TABELA","",IFERROR(VLOOKUP(B145,#REF!,VLOOKUP($F$6,'BASE CONTÁBIL'!N:O,2,FALSE),FALSE),0))))</f>
        <v/>
      </c>
      <c r="L145" s="35" t="str">
        <f t="shared" si="2"/>
        <v/>
      </c>
      <c r="M145" s="35" t="str">
        <f t="shared" si="3"/>
        <v/>
      </c>
      <c r="N145" s="35" t="str">
        <f t="shared" si="4"/>
        <v/>
      </c>
      <c r="O145" s="35" t="str">
        <f t="shared" si="5"/>
        <v/>
      </c>
      <c r="P145" s="33" t="e">
        <f t="shared" si="6"/>
        <v>#REF!</v>
      </c>
      <c r="Q145" s="2"/>
      <c r="R145" s="2"/>
      <c r="S145" s="2"/>
      <c r="T145" s="2"/>
      <c r="U145" s="2"/>
    </row>
    <row r="146" spans="1:21" ht="12.75" customHeight="1" x14ac:dyDescent="0.2">
      <c r="A146" s="2"/>
      <c r="B146" s="31"/>
      <c r="C146" s="32" t="str">
        <f>IFERROR((IF(B146="","",IF($F$6="","Informar UF / Tabela / Prazo de Pagamento",IF($F$9="","Informar UF / Tabela / Prazo de Pagamento",IF($C$9="","Informar UF / Tabela / Prazo de Pagamento",VLOOKUP(B146,'Tabela 130 '!$A$5:$T$1001,2,FALSE)))))),"REF. NÃO CADASTRADA NA TABELA")</f>
        <v/>
      </c>
      <c r="D146" s="33" t="str">
        <f>IF('FOLHA DE PEDIDO '!B146="","",IF(C146="REF. NÃO CADASTRADA NA TABELA","",VLOOKUP(B146,'Tabela 130 '!$A$5:$AI$801,3,FALSE)))</f>
        <v/>
      </c>
      <c r="E146" s="34"/>
      <c r="F146" s="34"/>
      <c r="G146" s="35" t="str">
        <f>IFERROR(IF(C146="REF. NÃO CADASTRADA NA TABELA","",IF($C$9="","",IF($F$9="","",IF(B146="","",IF($C$9=119,VLOOKUP(B146,'Tabela 130 '!$A$5:$T$2711,MATCH($F$9,'Tabela 130 '!$A$5:$T$5,0),FALSE),IF($C$9=553,VLOOKUP(B146,#REF!,MATCH($F$9,#REF!,0),FALSE),IF($C$9=552,VLOOKUP(B146,#REF!,MATCH($F$9,#REF!,0),FALSE),IF($C$9=551,VLOOKUP(B146,#REF!,MATCH($F$9,#REF!,0),FALSE))))))))),"REF. NÃO CADASTRADA NA TABELA")</f>
        <v/>
      </c>
      <c r="H146" s="36"/>
      <c r="I146" s="37" t="str">
        <f t="shared" si="0"/>
        <v/>
      </c>
      <c r="J146" s="33" t="str">
        <f t="shared" si="1"/>
        <v/>
      </c>
      <c r="K146" s="38" t="str">
        <f>IF($F$6="","",IF(B146="","",IF(C146="REF. NÃO CADASTRADA NA TABELA","",IFERROR(VLOOKUP(B146,#REF!,VLOOKUP($F$6,'BASE CONTÁBIL'!N:O,2,FALSE),FALSE),0))))</f>
        <v/>
      </c>
      <c r="L146" s="35" t="str">
        <f t="shared" si="2"/>
        <v/>
      </c>
      <c r="M146" s="35" t="str">
        <f t="shared" si="3"/>
        <v/>
      </c>
      <c r="N146" s="35" t="str">
        <f t="shared" si="4"/>
        <v/>
      </c>
      <c r="O146" s="35" t="str">
        <f t="shared" si="5"/>
        <v/>
      </c>
      <c r="P146" s="33" t="e">
        <f t="shared" si="6"/>
        <v>#REF!</v>
      </c>
      <c r="Q146" s="2"/>
      <c r="R146" s="2"/>
      <c r="S146" s="2"/>
      <c r="T146" s="2"/>
      <c r="U146" s="2"/>
    </row>
    <row r="147" spans="1:21" ht="12.75" customHeight="1" x14ac:dyDescent="0.2">
      <c r="A147" s="2"/>
      <c r="B147" s="31"/>
      <c r="C147" s="32" t="str">
        <f>IFERROR((IF(B147="","",IF($F$6="","Informar UF / Tabela / Prazo de Pagamento",IF($F$9="","Informar UF / Tabela / Prazo de Pagamento",IF($C$9="","Informar UF / Tabela / Prazo de Pagamento",VLOOKUP(B147,'Tabela 130 '!$A$5:$T$1001,2,FALSE)))))),"REF. NÃO CADASTRADA NA TABELA")</f>
        <v/>
      </c>
      <c r="D147" s="33" t="str">
        <f>IF('FOLHA DE PEDIDO '!B147="","",IF(C147="REF. NÃO CADASTRADA NA TABELA","",VLOOKUP(B147,'Tabela 130 '!$A$5:$AI$801,3,FALSE)))</f>
        <v/>
      </c>
      <c r="E147" s="34"/>
      <c r="F147" s="34"/>
      <c r="G147" s="35" t="str">
        <f>IFERROR(IF(C147="REF. NÃO CADASTRADA NA TABELA","",IF($C$9="","",IF($F$9="","",IF(B147="","",IF($C$9=119,VLOOKUP(B147,'Tabela 130 '!$A$5:$T$2711,MATCH($F$9,'Tabela 130 '!$A$5:$T$5,0),FALSE),IF($C$9=553,VLOOKUP(B147,#REF!,MATCH($F$9,#REF!,0),FALSE),IF($C$9=552,VLOOKUP(B147,#REF!,MATCH($F$9,#REF!,0),FALSE),IF($C$9=551,VLOOKUP(B147,#REF!,MATCH($F$9,#REF!,0),FALSE))))))))),"REF. NÃO CADASTRADA NA TABELA")</f>
        <v/>
      </c>
      <c r="H147" s="36"/>
      <c r="I147" s="37" t="str">
        <f t="shared" si="0"/>
        <v/>
      </c>
      <c r="J147" s="33" t="str">
        <f t="shared" si="1"/>
        <v/>
      </c>
      <c r="K147" s="38" t="str">
        <f>IF($F$6="","",IF(B147="","",IF(C147="REF. NÃO CADASTRADA NA TABELA","",IFERROR(VLOOKUP(B147,#REF!,VLOOKUP($F$6,'BASE CONTÁBIL'!N:O,2,FALSE),FALSE),0))))</f>
        <v/>
      </c>
      <c r="L147" s="35" t="str">
        <f t="shared" si="2"/>
        <v/>
      </c>
      <c r="M147" s="35" t="str">
        <f t="shared" si="3"/>
        <v/>
      </c>
      <c r="N147" s="35" t="str">
        <f t="shared" si="4"/>
        <v/>
      </c>
      <c r="O147" s="35" t="str">
        <f t="shared" si="5"/>
        <v/>
      </c>
      <c r="P147" s="33" t="e">
        <f t="shared" si="6"/>
        <v>#REF!</v>
      </c>
      <c r="Q147" s="2"/>
      <c r="R147" s="2"/>
      <c r="S147" s="2"/>
      <c r="T147" s="2"/>
      <c r="U147" s="2"/>
    </row>
    <row r="148" spans="1:21" ht="12.75" customHeight="1" x14ac:dyDescent="0.2">
      <c r="A148" s="2"/>
      <c r="B148" s="31"/>
      <c r="C148" s="32" t="str">
        <f>IFERROR((IF(B148="","",IF($F$6="","Informar UF / Tabela / Prazo de Pagamento",IF($F$9="","Informar UF / Tabela / Prazo de Pagamento",IF($C$9="","Informar UF / Tabela / Prazo de Pagamento",VLOOKUP(B148,'Tabela 130 '!$A$5:$T$1001,2,FALSE)))))),"REF. NÃO CADASTRADA NA TABELA")</f>
        <v/>
      </c>
      <c r="D148" s="33" t="str">
        <f>IF('FOLHA DE PEDIDO '!B148="","",IF(C148="REF. NÃO CADASTRADA NA TABELA","",VLOOKUP(B148,'Tabela 130 '!$A$5:$AI$801,3,FALSE)))</f>
        <v/>
      </c>
      <c r="E148" s="34"/>
      <c r="F148" s="34"/>
      <c r="G148" s="35" t="str">
        <f>IFERROR(IF(C148="REF. NÃO CADASTRADA NA TABELA","",IF($C$9="","",IF($F$9="","",IF(B148="","",IF($C$9=119,VLOOKUP(B148,'Tabela 130 '!$A$5:$T$2711,MATCH($F$9,'Tabela 130 '!$A$5:$T$5,0),FALSE),IF($C$9=553,VLOOKUP(B148,#REF!,MATCH($F$9,#REF!,0),FALSE),IF($C$9=552,VLOOKUP(B148,#REF!,MATCH($F$9,#REF!,0),FALSE),IF($C$9=551,VLOOKUP(B148,#REF!,MATCH($F$9,#REF!,0),FALSE))))))))),"REF. NÃO CADASTRADA NA TABELA")</f>
        <v/>
      </c>
      <c r="H148" s="36"/>
      <c r="I148" s="37" t="str">
        <f t="shared" si="0"/>
        <v/>
      </c>
      <c r="J148" s="33" t="str">
        <f t="shared" si="1"/>
        <v/>
      </c>
      <c r="K148" s="38" t="str">
        <f>IF($F$6="","",IF(B148="","",IF(C148="REF. NÃO CADASTRADA NA TABELA","",IFERROR(VLOOKUP(B148,#REF!,VLOOKUP($F$6,'BASE CONTÁBIL'!N:O,2,FALSE),FALSE),0))))</f>
        <v/>
      </c>
      <c r="L148" s="35" t="str">
        <f t="shared" si="2"/>
        <v/>
      </c>
      <c r="M148" s="35" t="str">
        <f t="shared" si="3"/>
        <v/>
      </c>
      <c r="N148" s="35" t="str">
        <f t="shared" si="4"/>
        <v/>
      </c>
      <c r="O148" s="35" t="str">
        <f t="shared" si="5"/>
        <v/>
      </c>
      <c r="P148" s="33" t="e">
        <f t="shared" si="6"/>
        <v>#REF!</v>
      </c>
      <c r="Q148" s="2"/>
      <c r="R148" s="2"/>
      <c r="S148" s="2"/>
      <c r="T148" s="2"/>
      <c r="U148" s="2"/>
    </row>
    <row r="149" spans="1:21" ht="12.75" customHeight="1" x14ac:dyDescent="0.2">
      <c r="A149" s="2"/>
      <c r="B149" s="31"/>
      <c r="C149" s="32" t="str">
        <f>IFERROR((IF(B149="","",IF($F$6="","Informar UF / Tabela / Prazo de Pagamento",IF($F$9="","Informar UF / Tabela / Prazo de Pagamento",IF($C$9="","Informar UF / Tabela / Prazo de Pagamento",VLOOKUP(B149,'Tabela 130 '!$A$5:$T$1001,2,FALSE)))))),"REF. NÃO CADASTRADA NA TABELA")</f>
        <v/>
      </c>
      <c r="D149" s="33" t="str">
        <f>IF('FOLHA DE PEDIDO '!B149="","",IF(C149="REF. NÃO CADASTRADA NA TABELA","",VLOOKUP(B149,'Tabela 130 '!$A$5:$AI$801,3,FALSE)))</f>
        <v/>
      </c>
      <c r="E149" s="34"/>
      <c r="F149" s="34"/>
      <c r="G149" s="35" t="str">
        <f>IFERROR(IF(C149="REF. NÃO CADASTRADA NA TABELA","",IF($C$9="","",IF($F$9="","",IF(B149="","",IF($C$9=119,VLOOKUP(B149,'Tabela 130 '!$A$5:$T$2711,MATCH($F$9,'Tabela 130 '!$A$5:$T$5,0),FALSE),IF($C$9=553,VLOOKUP(B149,#REF!,MATCH($F$9,#REF!,0),FALSE),IF($C$9=552,VLOOKUP(B149,#REF!,MATCH($F$9,#REF!,0),FALSE),IF($C$9=551,VLOOKUP(B149,#REF!,MATCH($F$9,#REF!,0),FALSE))))))))),"REF. NÃO CADASTRADA NA TABELA")</f>
        <v/>
      </c>
      <c r="H149" s="36"/>
      <c r="I149" s="37" t="str">
        <f t="shared" si="0"/>
        <v/>
      </c>
      <c r="J149" s="33" t="str">
        <f t="shared" si="1"/>
        <v/>
      </c>
      <c r="K149" s="38" t="str">
        <f>IF($F$6="","",IF(B149="","",IF(C149="REF. NÃO CADASTRADA NA TABELA","",IFERROR(VLOOKUP(B149,#REF!,VLOOKUP($F$6,'BASE CONTÁBIL'!N:O,2,FALSE),FALSE),0))))</f>
        <v/>
      </c>
      <c r="L149" s="35" t="str">
        <f t="shared" si="2"/>
        <v/>
      </c>
      <c r="M149" s="35" t="str">
        <f t="shared" si="3"/>
        <v/>
      </c>
      <c r="N149" s="35" t="str">
        <f t="shared" si="4"/>
        <v/>
      </c>
      <c r="O149" s="35" t="str">
        <f t="shared" si="5"/>
        <v/>
      </c>
      <c r="P149" s="33" t="e">
        <f t="shared" si="6"/>
        <v>#REF!</v>
      </c>
      <c r="Q149" s="2"/>
      <c r="R149" s="2"/>
      <c r="S149" s="2"/>
      <c r="T149" s="2"/>
      <c r="U149" s="2"/>
    </row>
    <row r="150" spans="1:21" ht="12.75" customHeight="1" x14ac:dyDescent="0.2">
      <c r="A150" s="2"/>
      <c r="B150" s="31"/>
      <c r="C150" s="32" t="str">
        <f>IFERROR((IF(B150="","",IF($F$6="","Informar UF / Tabela / Prazo de Pagamento",IF($F$9="","Informar UF / Tabela / Prazo de Pagamento",IF($C$9="","Informar UF / Tabela / Prazo de Pagamento",VLOOKUP(B150,'Tabela 130 '!$A$5:$T$1001,2,FALSE)))))),"REF. NÃO CADASTRADA NA TABELA")</f>
        <v/>
      </c>
      <c r="D150" s="33" t="str">
        <f>IF('FOLHA DE PEDIDO '!B150="","",IF(C150="REF. NÃO CADASTRADA NA TABELA","",VLOOKUP(B150,'Tabela 130 '!$A$5:$AI$801,3,FALSE)))</f>
        <v/>
      </c>
      <c r="E150" s="34"/>
      <c r="F150" s="34"/>
      <c r="G150" s="35" t="str">
        <f>IFERROR(IF(C150="REF. NÃO CADASTRADA NA TABELA","",IF($C$9="","",IF($F$9="","",IF(B150="","",IF($C$9=119,VLOOKUP(B150,'Tabela 130 '!$A$5:$T$2711,MATCH($F$9,'Tabela 130 '!$A$5:$T$5,0),FALSE),IF($C$9=553,VLOOKUP(B150,#REF!,MATCH($F$9,#REF!,0),FALSE),IF($C$9=552,VLOOKUP(B150,#REF!,MATCH($F$9,#REF!,0),FALSE),IF($C$9=551,VLOOKUP(B150,#REF!,MATCH($F$9,#REF!,0),FALSE))))))))),"REF. NÃO CADASTRADA NA TABELA")</f>
        <v/>
      </c>
      <c r="H150" s="36"/>
      <c r="I150" s="37" t="str">
        <f t="shared" si="0"/>
        <v/>
      </c>
      <c r="J150" s="33" t="str">
        <f t="shared" si="1"/>
        <v/>
      </c>
      <c r="K150" s="38" t="str">
        <f>IF($F$6="","",IF(B150="","",IF(C150="REF. NÃO CADASTRADA NA TABELA","",IFERROR(VLOOKUP(B150,#REF!,VLOOKUP($F$6,'BASE CONTÁBIL'!N:O,2,FALSE),FALSE),0))))</f>
        <v/>
      </c>
      <c r="L150" s="35" t="str">
        <f t="shared" si="2"/>
        <v/>
      </c>
      <c r="M150" s="35" t="str">
        <f t="shared" si="3"/>
        <v/>
      </c>
      <c r="N150" s="35" t="str">
        <f t="shared" si="4"/>
        <v/>
      </c>
      <c r="O150" s="35" t="str">
        <f t="shared" si="5"/>
        <v/>
      </c>
      <c r="P150" s="33" t="e">
        <f t="shared" si="6"/>
        <v>#REF!</v>
      </c>
      <c r="Q150" s="2"/>
      <c r="R150" s="2"/>
      <c r="S150" s="2"/>
      <c r="T150" s="2"/>
      <c r="U150" s="2"/>
    </row>
    <row r="151" spans="1:21" ht="12.75" customHeight="1" x14ac:dyDescent="0.2">
      <c r="A151" s="2"/>
      <c r="B151" s="31"/>
      <c r="C151" s="32" t="str">
        <f>IFERROR((IF(B151="","",IF($F$6="","Informar UF / Tabela / Prazo de Pagamento",IF($F$9="","Informar UF / Tabela / Prazo de Pagamento",IF($C$9="","Informar UF / Tabela / Prazo de Pagamento",VLOOKUP(B151,'Tabela 130 '!$A$5:$T$1001,2,FALSE)))))),"REF. NÃO CADASTRADA NA TABELA")</f>
        <v/>
      </c>
      <c r="D151" s="33" t="str">
        <f>IF('FOLHA DE PEDIDO '!B151="","",IF(C151="REF. NÃO CADASTRADA NA TABELA","",VLOOKUP(B151,'Tabela 130 '!$A$5:$AI$801,3,FALSE)))</f>
        <v/>
      </c>
      <c r="E151" s="34"/>
      <c r="F151" s="34"/>
      <c r="G151" s="35" t="str">
        <f>IFERROR(IF(C151="REF. NÃO CADASTRADA NA TABELA","",IF($C$9="","",IF($F$9="","",IF(B151="","",IF($C$9=119,VLOOKUP(B151,'Tabela 130 '!$A$5:$T$2711,MATCH($F$9,'Tabela 130 '!$A$5:$T$5,0),FALSE),IF($C$9=553,VLOOKUP(B151,#REF!,MATCH($F$9,#REF!,0),FALSE),IF($C$9=552,VLOOKUP(B151,#REF!,MATCH($F$9,#REF!,0),FALSE),IF($C$9=551,VLOOKUP(B151,#REF!,MATCH($F$9,#REF!,0),FALSE))))))))),"REF. NÃO CADASTRADA NA TABELA")</f>
        <v/>
      </c>
      <c r="H151" s="36"/>
      <c r="I151" s="37" t="str">
        <f t="shared" si="0"/>
        <v/>
      </c>
      <c r="J151" s="33" t="str">
        <f t="shared" si="1"/>
        <v/>
      </c>
      <c r="K151" s="38" t="str">
        <f>IF($F$6="","",IF(B151="","",IF(C151="REF. NÃO CADASTRADA NA TABELA","",IFERROR(VLOOKUP(B151,#REF!,VLOOKUP($F$6,'BASE CONTÁBIL'!N:O,2,FALSE),FALSE),0))))</f>
        <v/>
      </c>
      <c r="L151" s="35" t="str">
        <f t="shared" si="2"/>
        <v/>
      </c>
      <c r="M151" s="35" t="str">
        <f t="shared" si="3"/>
        <v/>
      </c>
      <c r="N151" s="35" t="str">
        <f t="shared" si="4"/>
        <v/>
      </c>
      <c r="O151" s="35" t="str">
        <f t="shared" si="5"/>
        <v/>
      </c>
      <c r="P151" s="33" t="e">
        <f t="shared" si="6"/>
        <v>#REF!</v>
      </c>
      <c r="Q151" s="2"/>
      <c r="R151" s="2"/>
      <c r="S151" s="2"/>
      <c r="T151" s="2"/>
      <c r="U151" s="2"/>
    </row>
    <row r="152" spans="1:21" ht="12.75" customHeight="1" x14ac:dyDescent="0.2">
      <c r="A152" s="2"/>
      <c r="B152" s="31"/>
      <c r="C152" s="32" t="str">
        <f>IFERROR((IF(B152="","",IF($F$6="","Informar UF / Tabela / Prazo de Pagamento",IF($F$9="","Informar UF / Tabela / Prazo de Pagamento",IF($C$9="","Informar UF / Tabela / Prazo de Pagamento",VLOOKUP(B152,'Tabela 130 '!$A$5:$T$1001,2,FALSE)))))),"REF. NÃO CADASTRADA NA TABELA")</f>
        <v/>
      </c>
      <c r="D152" s="33" t="str">
        <f>IF('FOLHA DE PEDIDO '!B152="","",IF(C152="REF. NÃO CADASTRADA NA TABELA","",VLOOKUP(B152,'Tabela 130 '!$A$5:$AI$801,3,FALSE)))</f>
        <v/>
      </c>
      <c r="E152" s="34"/>
      <c r="F152" s="34"/>
      <c r="G152" s="35" t="str">
        <f>IFERROR(IF(C152="REF. NÃO CADASTRADA NA TABELA","",IF($C$9="","",IF($F$9="","",IF(B152="","",IF($C$9=119,VLOOKUP(B152,'Tabela 130 '!$A$5:$T$2711,MATCH($F$9,'Tabela 130 '!$A$5:$T$5,0),FALSE),IF($C$9=553,VLOOKUP(B152,#REF!,MATCH($F$9,#REF!,0),FALSE),IF($C$9=552,VLOOKUP(B152,#REF!,MATCH($F$9,#REF!,0),FALSE),IF($C$9=551,VLOOKUP(B152,#REF!,MATCH($F$9,#REF!,0),FALSE))))))))),"REF. NÃO CADASTRADA NA TABELA")</f>
        <v/>
      </c>
      <c r="H152" s="36"/>
      <c r="I152" s="37" t="str">
        <f t="shared" si="0"/>
        <v/>
      </c>
      <c r="J152" s="33" t="str">
        <f t="shared" si="1"/>
        <v/>
      </c>
      <c r="K152" s="38" t="str">
        <f>IF($F$6="","",IF(B152="","",IF(C152="REF. NÃO CADASTRADA NA TABELA","",IFERROR(VLOOKUP(B152,#REF!,VLOOKUP($F$6,'BASE CONTÁBIL'!N:O,2,FALSE),FALSE),0))))</f>
        <v/>
      </c>
      <c r="L152" s="35" t="str">
        <f t="shared" si="2"/>
        <v/>
      </c>
      <c r="M152" s="35" t="str">
        <f t="shared" si="3"/>
        <v/>
      </c>
      <c r="N152" s="35" t="str">
        <f t="shared" si="4"/>
        <v/>
      </c>
      <c r="O152" s="35" t="str">
        <f t="shared" si="5"/>
        <v/>
      </c>
      <c r="P152" s="33" t="e">
        <f t="shared" si="6"/>
        <v>#REF!</v>
      </c>
      <c r="Q152" s="2"/>
      <c r="R152" s="2"/>
      <c r="S152" s="2"/>
      <c r="T152" s="2"/>
      <c r="U152" s="2"/>
    </row>
    <row r="153" spans="1:21" ht="12.75" customHeight="1" x14ac:dyDescent="0.2">
      <c r="A153" s="2"/>
      <c r="B153" s="31"/>
      <c r="C153" s="32" t="str">
        <f>IFERROR((IF(B153="","",IF($F$6="","Informar UF / Tabela / Prazo de Pagamento",IF($F$9="","Informar UF / Tabela / Prazo de Pagamento",IF($C$9="","Informar UF / Tabela / Prazo de Pagamento",VLOOKUP(B153,'Tabela 130 '!$A$5:$T$1001,2,FALSE)))))),"REF. NÃO CADASTRADA NA TABELA")</f>
        <v/>
      </c>
      <c r="D153" s="33" t="str">
        <f>IF('FOLHA DE PEDIDO '!B153="","",IF(C153="REF. NÃO CADASTRADA NA TABELA","",VLOOKUP(B153,'Tabela 130 '!$A$5:$AI$801,3,FALSE)))</f>
        <v/>
      </c>
      <c r="E153" s="34"/>
      <c r="F153" s="34"/>
      <c r="G153" s="35" t="str">
        <f>IFERROR(IF(C153="REF. NÃO CADASTRADA NA TABELA","",IF($C$9="","",IF($F$9="","",IF(B153="","",IF($C$9=119,VLOOKUP(B153,'Tabela 130 '!$A$5:$T$2711,MATCH($F$9,'Tabela 130 '!$A$5:$T$5,0),FALSE),IF($C$9=553,VLOOKUP(B153,#REF!,MATCH($F$9,#REF!,0),FALSE),IF($C$9=552,VLOOKUP(B153,#REF!,MATCH($F$9,#REF!,0),FALSE),IF($C$9=551,VLOOKUP(B153,#REF!,MATCH($F$9,#REF!,0),FALSE))))))))),"REF. NÃO CADASTRADA NA TABELA")</f>
        <v/>
      </c>
      <c r="H153" s="36"/>
      <c r="I153" s="37" t="str">
        <f t="shared" si="0"/>
        <v/>
      </c>
      <c r="J153" s="33" t="str">
        <f t="shared" si="1"/>
        <v/>
      </c>
      <c r="K153" s="38" t="str">
        <f>IF($F$6="","",IF(B153="","",IF(C153="REF. NÃO CADASTRADA NA TABELA","",IFERROR(VLOOKUP(B153,#REF!,VLOOKUP($F$6,'BASE CONTÁBIL'!N:O,2,FALSE),FALSE),0))))</f>
        <v/>
      </c>
      <c r="L153" s="35" t="str">
        <f t="shared" si="2"/>
        <v/>
      </c>
      <c r="M153" s="35" t="str">
        <f t="shared" si="3"/>
        <v/>
      </c>
      <c r="N153" s="35" t="str">
        <f t="shared" si="4"/>
        <v/>
      </c>
      <c r="O153" s="35" t="str">
        <f t="shared" si="5"/>
        <v/>
      </c>
      <c r="P153" s="33" t="e">
        <f t="shared" si="6"/>
        <v>#REF!</v>
      </c>
      <c r="Q153" s="2"/>
      <c r="R153" s="2"/>
      <c r="S153" s="2"/>
      <c r="T153" s="2"/>
      <c r="U153" s="2"/>
    </row>
    <row r="154" spans="1:21" ht="12.75" customHeight="1" x14ac:dyDescent="0.2">
      <c r="A154" s="2"/>
      <c r="B154" s="31"/>
      <c r="C154" s="32" t="str">
        <f>IFERROR((IF(B154="","",IF($F$6="","Informar UF / Tabela / Prazo de Pagamento",IF($F$9="","Informar UF / Tabela / Prazo de Pagamento",IF($C$9="","Informar UF / Tabela / Prazo de Pagamento",VLOOKUP(B154,'Tabela 130 '!$A$5:$T$1001,2,FALSE)))))),"REF. NÃO CADASTRADA NA TABELA")</f>
        <v/>
      </c>
      <c r="D154" s="33" t="str">
        <f>IF('FOLHA DE PEDIDO '!B154="","",IF(C154="REF. NÃO CADASTRADA NA TABELA","",VLOOKUP(B154,'Tabela 130 '!$A$5:$AI$801,3,FALSE)))</f>
        <v/>
      </c>
      <c r="E154" s="34"/>
      <c r="F154" s="34"/>
      <c r="G154" s="35" t="str">
        <f>IFERROR(IF(C154="REF. NÃO CADASTRADA NA TABELA","",IF($C$9="","",IF($F$9="","",IF(B154="","",IF($C$9=119,VLOOKUP(B154,'Tabela 130 '!$A$5:$T$2711,MATCH($F$9,'Tabela 130 '!$A$5:$T$5,0),FALSE),IF($C$9=553,VLOOKUP(B154,#REF!,MATCH($F$9,#REF!,0),FALSE),IF($C$9=552,VLOOKUP(B154,#REF!,MATCH($F$9,#REF!,0),FALSE),IF($C$9=551,VLOOKUP(B154,#REF!,MATCH($F$9,#REF!,0),FALSE))))))))),"REF. NÃO CADASTRADA NA TABELA")</f>
        <v/>
      </c>
      <c r="H154" s="36"/>
      <c r="I154" s="37" t="str">
        <f t="shared" si="0"/>
        <v/>
      </c>
      <c r="J154" s="33" t="str">
        <f t="shared" si="1"/>
        <v/>
      </c>
      <c r="K154" s="38" t="str">
        <f>IF($F$6="","",IF(B154="","",IF(C154="REF. NÃO CADASTRADA NA TABELA","",IFERROR(VLOOKUP(B154,#REF!,VLOOKUP($F$6,'BASE CONTÁBIL'!N:O,2,FALSE),FALSE),0))))</f>
        <v/>
      </c>
      <c r="L154" s="35" t="str">
        <f t="shared" si="2"/>
        <v/>
      </c>
      <c r="M154" s="35" t="str">
        <f t="shared" si="3"/>
        <v/>
      </c>
      <c r="N154" s="35" t="str">
        <f t="shared" si="4"/>
        <v/>
      </c>
      <c r="O154" s="35" t="str">
        <f t="shared" si="5"/>
        <v/>
      </c>
      <c r="P154" s="33" t="e">
        <f t="shared" si="6"/>
        <v>#REF!</v>
      </c>
      <c r="Q154" s="2"/>
      <c r="R154" s="2"/>
      <c r="S154" s="2"/>
      <c r="T154" s="2"/>
      <c r="U154" s="2"/>
    </row>
    <row r="155" spans="1:21" ht="12.75" customHeight="1" x14ac:dyDescent="0.2">
      <c r="A155" s="2"/>
      <c r="B155" s="31"/>
      <c r="C155" s="32" t="str">
        <f>IFERROR((IF(B155="","",IF($F$6="","Informar UF / Tabela / Prazo de Pagamento",IF($F$9="","Informar UF / Tabela / Prazo de Pagamento",IF($C$9="","Informar UF / Tabela / Prazo de Pagamento",VLOOKUP(B155,'Tabela 130 '!$A$5:$T$1001,2,FALSE)))))),"REF. NÃO CADASTRADA NA TABELA")</f>
        <v/>
      </c>
      <c r="D155" s="33" t="str">
        <f>IF('FOLHA DE PEDIDO '!B155="","",IF(C155="REF. NÃO CADASTRADA NA TABELA","",VLOOKUP(B155,'Tabela 130 '!$A$5:$AI$801,3,FALSE)))</f>
        <v/>
      </c>
      <c r="E155" s="34"/>
      <c r="F155" s="34"/>
      <c r="G155" s="35" t="str">
        <f>IFERROR(IF(C155="REF. NÃO CADASTRADA NA TABELA","",IF($C$9="","",IF($F$9="","",IF(B155="","",IF($C$9=119,VLOOKUP(B155,'Tabela 130 '!$A$5:$T$2711,MATCH($F$9,'Tabela 130 '!$A$5:$T$5,0),FALSE),IF($C$9=553,VLOOKUP(B155,#REF!,MATCH($F$9,#REF!,0),FALSE),IF($C$9=552,VLOOKUP(B155,#REF!,MATCH($F$9,#REF!,0),FALSE),IF($C$9=551,VLOOKUP(B155,#REF!,MATCH($F$9,#REF!,0),FALSE))))))))),"REF. NÃO CADASTRADA NA TABELA")</f>
        <v/>
      </c>
      <c r="H155" s="36"/>
      <c r="I155" s="37" t="str">
        <f t="shared" si="0"/>
        <v/>
      </c>
      <c r="J155" s="33" t="str">
        <f t="shared" si="1"/>
        <v/>
      </c>
      <c r="K155" s="38" t="str">
        <f>IF($F$6="","",IF(B155="","",IF(C155="REF. NÃO CADASTRADA NA TABELA","",IFERROR(VLOOKUP(B155,#REF!,VLOOKUP($F$6,'BASE CONTÁBIL'!N:O,2,FALSE),FALSE),0))))</f>
        <v/>
      </c>
      <c r="L155" s="35" t="str">
        <f t="shared" si="2"/>
        <v/>
      </c>
      <c r="M155" s="35" t="str">
        <f t="shared" si="3"/>
        <v/>
      </c>
      <c r="N155" s="35" t="str">
        <f t="shared" si="4"/>
        <v/>
      </c>
      <c r="O155" s="35" t="str">
        <f t="shared" si="5"/>
        <v/>
      </c>
      <c r="P155" s="33" t="e">
        <f t="shared" si="6"/>
        <v>#REF!</v>
      </c>
      <c r="Q155" s="2"/>
      <c r="R155" s="2"/>
      <c r="S155" s="2"/>
      <c r="T155" s="2"/>
      <c r="U155" s="2"/>
    </row>
    <row r="156" spans="1:21" ht="12.75" customHeight="1" x14ac:dyDescent="0.2">
      <c r="A156" s="2"/>
      <c r="B156" s="31"/>
      <c r="C156" s="32" t="str">
        <f>IFERROR((IF(B156="","",IF($F$6="","Informar UF / Tabela / Prazo de Pagamento",IF($F$9="","Informar UF / Tabela / Prazo de Pagamento",IF($C$9="","Informar UF / Tabela / Prazo de Pagamento",VLOOKUP(B156,'Tabela 130 '!$A$5:$T$1001,2,FALSE)))))),"REF. NÃO CADASTRADA NA TABELA")</f>
        <v/>
      </c>
      <c r="D156" s="33" t="str">
        <f>IF('FOLHA DE PEDIDO '!B156="","",IF(C156="REF. NÃO CADASTRADA NA TABELA","",VLOOKUP(B156,'Tabela 130 '!$A$5:$AI$801,3,FALSE)))</f>
        <v/>
      </c>
      <c r="E156" s="34"/>
      <c r="F156" s="34"/>
      <c r="G156" s="35" t="str">
        <f>IFERROR(IF(C156="REF. NÃO CADASTRADA NA TABELA","",IF($C$9="","",IF($F$9="","",IF(B156="","",IF($C$9=119,VLOOKUP(B156,'Tabela 130 '!$A$5:$T$2711,MATCH($F$9,'Tabela 130 '!$A$5:$T$5,0),FALSE),IF($C$9=553,VLOOKUP(B156,#REF!,MATCH($F$9,#REF!,0),FALSE),IF($C$9=552,VLOOKUP(B156,#REF!,MATCH($F$9,#REF!,0),FALSE),IF($C$9=551,VLOOKUP(B156,#REF!,MATCH($F$9,#REF!,0),FALSE))))))))),"REF. NÃO CADASTRADA NA TABELA")</f>
        <v/>
      </c>
      <c r="H156" s="36"/>
      <c r="I156" s="37" t="str">
        <f t="shared" si="0"/>
        <v/>
      </c>
      <c r="J156" s="33" t="str">
        <f t="shared" si="1"/>
        <v/>
      </c>
      <c r="K156" s="38" t="str">
        <f>IF($F$6="","",IF(B156="","",IF(C156="REF. NÃO CADASTRADA NA TABELA","",IFERROR(VLOOKUP(B156,#REF!,VLOOKUP($F$6,'BASE CONTÁBIL'!N:O,2,FALSE),FALSE),0))))</f>
        <v/>
      </c>
      <c r="L156" s="35" t="str">
        <f t="shared" si="2"/>
        <v/>
      </c>
      <c r="M156" s="35" t="str">
        <f t="shared" si="3"/>
        <v/>
      </c>
      <c r="N156" s="35" t="str">
        <f t="shared" si="4"/>
        <v/>
      </c>
      <c r="O156" s="35" t="str">
        <f t="shared" si="5"/>
        <v/>
      </c>
      <c r="P156" s="33" t="e">
        <f t="shared" si="6"/>
        <v>#REF!</v>
      </c>
      <c r="Q156" s="2"/>
      <c r="R156" s="2"/>
      <c r="S156" s="2"/>
      <c r="T156" s="2"/>
      <c r="U156" s="2"/>
    </row>
    <row r="157" spans="1:21" ht="12.75" customHeight="1" x14ac:dyDescent="0.2">
      <c r="A157" s="2"/>
      <c r="B157" s="31"/>
      <c r="C157" s="32" t="str">
        <f>IFERROR((IF(B157="","",IF($F$6="","Informar UF / Tabela / Prazo de Pagamento",IF($F$9="","Informar UF / Tabela / Prazo de Pagamento",IF($C$9="","Informar UF / Tabela / Prazo de Pagamento",VLOOKUP(B157,'Tabela 130 '!$A$5:$T$1001,2,FALSE)))))),"REF. NÃO CADASTRADA NA TABELA")</f>
        <v/>
      </c>
      <c r="D157" s="33" t="str">
        <f>IF('FOLHA DE PEDIDO '!B157="","",IF(C157="REF. NÃO CADASTRADA NA TABELA","",VLOOKUP(B157,'Tabela 130 '!$A$5:$AI$801,3,FALSE)))</f>
        <v/>
      </c>
      <c r="E157" s="34"/>
      <c r="F157" s="34"/>
      <c r="G157" s="35" t="str">
        <f>IFERROR(IF(C157="REF. NÃO CADASTRADA NA TABELA","",IF($C$9="","",IF($F$9="","",IF(B157="","",IF($C$9=119,VLOOKUP(B157,'Tabela 130 '!$A$5:$T$2711,MATCH($F$9,'Tabela 130 '!$A$5:$T$5,0),FALSE),IF($C$9=553,VLOOKUP(B157,#REF!,MATCH($F$9,#REF!,0),FALSE),IF($C$9=552,VLOOKUP(B157,#REF!,MATCH($F$9,#REF!,0),FALSE),IF($C$9=551,VLOOKUP(B157,#REF!,MATCH($F$9,#REF!,0),FALSE))))))))),"REF. NÃO CADASTRADA NA TABELA")</f>
        <v/>
      </c>
      <c r="H157" s="36"/>
      <c r="I157" s="37" t="str">
        <f t="shared" si="0"/>
        <v/>
      </c>
      <c r="J157" s="33" t="str">
        <f t="shared" si="1"/>
        <v/>
      </c>
      <c r="K157" s="38" t="str">
        <f>IF($F$6="","",IF(B157="","",IF(C157="REF. NÃO CADASTRADA NA TABELA","",IFERROR(VLOOKUP(B157,#REF!,VLOOKUP($F$6,'BASE CONTÁBIL'!N:O,2,FALSE),FALSE),0))))</f>
        <v/>
      </c>
      <c r="L157" s="35" t="str">
        <f t="shared" si="2"/>
        <v/>
      </c>
      <c r="M157" s="35" t="str">
        <f t="shared" si="3"/>
        <v/>
      </c>
      <c r="N157" s="35" t="str">
        <f t="shared" si="4"/>
        <v/>
      </c>
      <c r="O157" s="35" t="str">
        <f t="shared" si="5"/>
        <v/>
      </c>
      <c r="P157" s="33" t="e">
        <f t="shared" si="6"/>
        <v>#REF!</v>
      </c>
      <c r="Q157" s="2"/>
      <c r="R157" s="2"/>
      <c r="S157" s="2"/>
      <c r="T157" s="2"/>
      <c r="U157" s="2"/>
    </row>
    <row r="158" spans="1:21" ht="12.75" customHeight="1" x14ac:dyDescent="0.2">
      <c r="A158" s="2"/>
      <c r="B158" s="31"/>
      <c r="C158" s="32" t="str">
        <f>IFERROR((IF(B158="","",IF($F$6="","Informar UF / Tabela / Prazo de Pagamento",IF($F$9="","Informar UF / Tabela / Prazo de Pagamento",IF($C$9="","Informar UF / Tabela / Prazo de Pagamento",VLOOKUP(B158,'Tabela 130 '!$A$5:$T$1001,2,FALSE)))))),"REF. NÃO CADASTRADA NA TABELA")</f>
        <v/>
      </c>
      <c r="D158" s="33" t="str">
        <f>IF('FOLHA DE PEDIDO '!B158="","",IF(C158="REF. NÃO CADASTRADA NA TABELA","",VLOOKUP(B158,'Tabela 130 '!$A$5:$AI$801,3,FALSE)))</f>
        <v/>
      </c>
      <c r="E158" s="34"/>
      <c r="F158" s="34"/>
      <c r="G158" s="35" t="str">
        <f>IFERROR(IF(C158="REF. NÃO CADASTRADA NA TABELA","",IF($C$9="","",IF($F$9="","",IF(B158="","",IF($C$9=119,VLOOKUP(B158,'Tabela 130 '!$A$5:$T$2711,MATCH($F$9,'Tabela 130 '!$A$5:$T$5,0),FALSE),IF($C$9=553,VLOOKUP(B158,#REF!,MATCH($F$9,#REF!,0),FALSE),IF($C$9=552,VLOOKUP(B158,#REF!,MATCH($F$9,#REF!,0),FALSE),IF($C$9=551,VLOOKUP(B158,#REF!,MATCH($F$9,#REF!,0),FALSE))))))))),"REF. NÃO CADASTRADA NA TABELA")</f>
        <v/>
      </c>
      <c r="H158" s="36"/>
      <c r="I158" s="37" t="str">
        <f t="shared" si="0"/>
        <v/>
      </c>
      <c r="J158" s="33" t="str">
        <f t="shared" si="1"/>
        <v/>
      </c>
      <c r="K158" s="38" t="str">
        <f>IF($F$6="","",IF(B158="","",IF(C158="REF. NÃO CADASTRADA NA TABELA","",IFERROR(VLOOKUP(B158,#REF!,VLOOKUP($F$6,'BASE CONTÁBIL'!N:O,2,FALSE),FALSE),0))))</f>
        <v/>
      </c>
      <c r="L158" s="35" t="str">
        <f t="shared" si="2"/>
        <v/>
      </c>
      <c r="M158" s="35" t="str">
        <f t="shared" si="3"/>
        <v/>
      </c>
      <c r="N158" s="35" t="str">
        <f t="shared" si="4"/>
        <v/>
      </c>
      <c r="O158" s="35" t="str">
        <f t="shared" si="5"/>
        <v/>
      </c>
      <c r="P158" s="33" t="e">
        <f t="shared" si="6"/>
        <v>#REF!</v>
      </c>
      <c r="Q158" s="2"/>
      <c r="R158" s="2"/>
      <c r="S158" s="2"/>
      <c r="T158" s="2"/>
      <c r="U158" s="2"/>
    </row>
    <row r="159" spans="1:21" ht="12.75" customHeight="1" x14ac:dyDescent="0.2">
      <c r="A159" s="2"/>
      <c r="B159" s="31"/>
      <c r="C159" s="32" t="str">
        <f>IFERROR((IF(B159="","",IF($F$6="","Informar UF / Tabela / Prazo de Pagamento",IF($F$9="","Informar UF / Tabela / Prazo de Pagamento",IF($C$9="","Informar UF / Tabela / Prazo de Pagamento",VLOOKUP(B159,'Tabela 130 '!$A$5:$T$1001,2,FALSE)))))),"REF. NÃO CADASTRADA NA TABELA")</f>
        <v/>
      </c>
      <c r="D159" s="33" t="str">
        <f>IF('FOLHA DE PEDIDO '!B159="","",IF(C159="REF. NÃO CADASTRADA NA TABELA","",VLOOKUP(B159,'Tabela 130 '!$A$5:$AI$801,3,FALSE)))</f>
        <v/>
      </c>
      <c r="E159" s="34"/>
      <c r="F159" s="34"/>
      <c r="G159" s="35" t="str">
        <f>IFERROR(IF(C159="REF. NÃO CADASTRADA NA TABELA","",IF($C$9="","",IF($F$9="","",IF(B159="","",IF($C$9=119,VLOOKUP(B159,'Tabela 130 '!$A$5:$T$2711,MATCH($F$9,'Tabela 130 '!$A$5:$T$5,0),FALSE),IF($C$9=553,VLOOKUP(B159,#REF!,MATCH($F$9,#REF!,0),FALSE),IF($C$9=552,VLOOKUP(B159,#REF!,MATCH($F$9,#REF!,0),FALSE),IF($C$9=551,VLOOKUP(B159,#REF!,MATCH($F$9,#REF!,0),FALSE))))))))),"REF. NÃO CADASTRADA NA TABELA")</f>
        <v/>
      </c>
      <c r="H159" s="36"/>
      <c r="I159" s="37" t="str">
        <f t="shared" si="0"/>
        <v/>
      </c>
      <c r="J159" s="33" t="str">
        <f t="shared" si="1"/>
        <v/>
      </c>
      <c r="K159" s="38" t="str">
        <f>IF($F$6="","",IF(B159="","",IF(C159="REF. NÃO CADASTRADA NA TABELA","",IFERROR(VLOOKUP(B159,#REF!,VLOOKUP($F$6,'BASE CONTÁBIL'!N:O,2,FALSE),FALSE),0))))</f>
        <v/>
      </c>
      <c r="L159" s="35" t="str">
        <f t="shared" si="2"/>
        <v/>
      </c>
      <c r="M159" s="35" t="str">
        <f t="shared" si="3"/>
        <v/>
      </c>
      <c r="N159" s="35" t="str">
        <f t="shared" si="4"/>
        <v/>
      </c>
      <c r="O159" s="35" t="str">
        <f t="shared" si="5"/>
        <v/>
      </c>
      <c r="P159" s="33" t="e">
        <f t="shared" si="6"/>
        <v>#REF!</v>
      </c>
      <c r="Q159" s="2"/>
      <c r="R159" s="2"/>
      <c r="S159" s="2"/>
      <c r="T159" s="2"/>
      <c r="U159" s="2"/>
    </row>
    <row r="160" spans="1:21" ht="12.75" customHeight="1" x14ac:dyDescent="0.2">
      <c r="A160" s="2"/>
      <c r="B160" s="31"/>
      <c r="C160" s="32" t="str">
        <f>IFERROR((IF(B160="","",IF($F$6="","Informar UF / Tabela / Prazo de Pagamento",IF($F$9="","Informar UF / Tabela / Prazo de Pagamento",IF($C$9="","Informar UF / Tabela / Prazo de Pagamento",VLOOKUP(B160,'Tabela 130 '!$A$5:$T$1001,2,FALSE)))))),"REF. NÃO CADASTRADA NA TABELA")</f>
        <v/>
      </c>
      <c r="D160" s="33" t="str">
        <f>IF('FOLHA DE PEDIDO '!B160="","",IF(C160="REF. NÃO CADASTRADA NA TABELA","",VLOOKUP(B160,'Tabela 130 '!$A$5:$AI$801,3,FALSE)))</f>
        <v/>
      </c>
      <c r="E160" s="34"/>
      <c r="F160" s="34"/>
      <c r="G160" s="35" t="str">
        <f>IFERROR(IF(C160="REF. NÃO CADASTRADA NA TABELA","",IF($C$9="","",IF($F$9="","",IF(B160="","",IF($C$9=119,VLOOKUP(B160,'Tabela 130 '!$A$5:$T$2711,MATCH($F$9,'Tabela 130 '!$A$5:$T$5,0),FALSE),IF($C$9=553,VLOOKUP(B160,#REF!,MATCH($F$9,#REF!,0),FALSE),IF($C$9=552,VLOOKUP(B160,#REF!,MATCH($F$9,#REF!,0),FALSE),IF($C$9=551,VLOOKUP(B160,#REF!,MATCH($F$9,#REF!,0),FALSE))))))))),"REF. NÃO CADASTRADA NA TABELA")</f>
        <v/>
      </c>
      <c r="H160" s="36"/>
      <c r="I160" s="37" t="str">
        <f t="shared" si="0"/>
        <v/>
      </c>
      <c r="J160" s="33" t="str">
        <f t="shared" si="1"/>
        <v/>
      </c>
      <c r="K160" s="38" t="str">
        <f>IF($F$6="","",IF(B160="","",IF(C160="REF. NÃO CADASTRADA NA TABELA","",IFERROR(VLOOKUP(B160,#REF!,VLOOKUP($F$6,'BASE CONTÁBIL'!N:O,2,FALSE),FALSE),0))))</f>
        <v/>
      </c>
      <c r="L160" s="35" t="str">
        <f t="shared" si="2"/>
        <v/>
      </c>
      <c r="M160" s="35" t="str">
        <f t="shared" si="3"/>
        <v/>
      </c>
      <c r="N160" s="35" t="str">
        <f t="shared" si="4"/>
        <v/>
      </c>
      <c r="O160" s="35" t="str">
        <f t="shared" si="5"/>
        <v/>
      </c>
      <c r="P160" s="33" t="e">
        <f t="shared" si="6"/>
        <v>#REF!</v>
      </c>
      <c r="Q160" s="2"/>
      <c r="R160" s="2"/>
      <c r="S160" s="2"/>
      <c r="T160" s="2"/>
      <c r="U160" s="2"/>
    </row>
    <row r="161" spans="1:21" ht="12.75" customHeight="1" x14ac:dyDescent="0.2">
      <c r="A161" s="2"/>
      <c r="B161" s="31"/>
      <c r="C161" s="32" t="str">
        <f>IFERROR((IF(B161="","",IF($F$6="","Informar UF / Tabela / Prazo de Pagamento",IF($F$9="","Informar UF / Tabela / Prazo de Pagamento",IF($C$9="","Informar UF / Tabela / Prazo de Pagamento",VLOOKUP(B161,'Tabela 130 '!$A$5:$T$1001,2,FALSE)))))),"REF. NÃO CADASTRADA NA TABELA")</f>
        <v/>
      </c>
      <c r="D161" s="33" t="str">
        <f>IF('FOLHA DE PEDIDO '!B161="","",IF(C161="REF. NÃO CADASTRADA NA TABELA","",VLOOKUP(B161,'Tabela 130 '!$A$5:$AI$801,3,FALSE)))</f>
        <v/>
      </c>
      <c r="E161" s="34"/>
      <c r="F161" s="34"/>
      <c r="G161" s="35" t="str">
        <f>IFERROR(IF(C161="REF. NÃO CADASTRADA NA TABELA","",IF($C$9="","",IF($F$9="","",IF(B161="","",IF($C$9=119,VLOOKUP(B161,'Tabela 130 '!$A$5:$T$2711,MATCH($F$9,'Tabela 130 '!$A$5:$T$5,0),FALSE),IF($C$9=553,VLOOKUP(B161,#REF!,MATCH($F$9,#REF!,0),FALSE),IF($C$9=552,VLOOKUP(B161,#REF!,MATCH($F$9,#REF!,0),FALSE),IF($C$9=551,VLOOKUP(B161,#REF!,MATCH($F$9,#REF!,0),FALSE))))))))),"REF. NÃO CADASTRADA NA TABELA")</f>
        <v/>
      </c>
      <c r="H161" s="36"/>
      <c r="I161" s="37" t="str">
        <f t="shared" si="0"/>
        <v/>
      </c>
      <c r="J161" s="33" t="str">
        <f t="shared" si="1"/>
        <v/>
      </c>
      <c r="K161" s="38" t="str">
        <f>IF($F$6="","",IF(B161="","",IF(C161="REF. NÃO CADASTRADA NA TABELA","",IFERROR(VLOOKUP(B161,#REF!,VLOOKUP($F$6,'BASE CONTÁBIL'!N:O,2,FALSE),FALSE),0))))</f>
        <v/>
      </c>
      <c r="L161" s="35" t="str">
        <f t="shared" si="2"/>
        <v/>
      </c>
      <c r="M161" s="35" t="str">
        <f t="shared" si="3"/>
        <v/>
      </c>
      <c r="N161" s="35" t="str">
        <f t="shared" si="4"/>
        <v/>
      </c>
      <c r="O161" s="35" t="str">
        <f t="shared" si="5"/>
        <v/>
      </c>
      <c r="P161" s="33" t="e">
        <f t="shared" si="6"/>
        <v>#REF!</v>
      </c>
      <c r="Q161" s="2"/>
      <c r="R161" s="2"/>
      <c r="S161" s="2"/>
      <c r="T161" s="2"/>
      <c r="U161" s="2"/>
    </row>
    <row r="162" spans="1:21" ht="12.75" customHeight="1" x14ac:dyDescent="0.2">
      <c r="A162" s="2"/>
      <c r="B162" s="31"/>
      <c r="C162" s="32" t="str">
        <f>IFERROR((IF(B162="","",IF($F$6="","Informar UF / Tabela / Prazo de Pagamento",IF($F$9="","Informar UF / Tabela / Prazo de Pagamento",IF($C$9="","Informar UF / Tabela / Prazo de Pagamento",VLOOKUP(B162,'Tabela 130 '!$A$5:$T$1001,2,FALSE)))))),"REF. NÃO CADASTRADA NA TABELA")</f>
        <v/>
      </c>
      <c r="D162" s="33" t="str">
        <f>IF('FOLHA DE PEDIDO '!B162="","",IF(C162="REF. NÃO CADASTRADA NA TABELA","",VLOOKUP(B162,'Tabela 130 '!$A$5:$AI$801,3,FALSE)))</f>
        <v/>
      </c>
      <c r="E162" s="34"/>
      <c r="F162" s="34"/>
      <c r="G162" s="35" t="str">
        <f>IFERROR(IF(C162="REF. NÃO CADASTRADA NA TABELA","",IF($C$9="","",IF($F$9="","",IF(B162="","",IF($C$9=119,VLOOKUP(B162,'Tabela 130 '!$A$5:$T$2711,MATCH($F$9,'Tabela 130 '!$A$5:$T$5,0),FALSE),IF($C$9=553,VLOOKUP(B162,#REF!,MATCH($F$9,#REF!,0),FALSE),IF($C$9=552,VLOOKUP(B162,#REF!,MATCH($F$9,#REF!,0),FALSE),IF($C$9=551,VLOOKUP(B162,#REF!,MATCH($F$9,#REF!,0),FALSE))))))))),"REF. NÃO CADASTRADA NA TABELA")</f>
        <v/>
      </c>
      <c r="H162" s="36"/>
      <c r="I162" s="37" t="str">
        <f t="shared" si="0"/>
        <v/>
      </c>
      <c r="J162" s="33" t="str">
        <f t="shared" si="1"/>
        <v/>
      </c>
      <c r="K162" s="38" t="str">
        <f>IF($F$6="","",IF(B162="","",IF(C162="REF. NÃO CADASTRADA NA TABELA","",IFERROR(VLOOKUP(B162,#REF!,VLOOKUP($F$6,'BASE CONTÁBIL'!N:O,2,FALSE),FALSE),0))))</f>
        <v/>
      </c>
      <c r="L162" s="35" t="str">
        <f t="shared" si="2"/>
        <v/>
      </c>
      <c r="M162" s="35" t="str">
        <f t="shared" si="3"/>
        <v/>
      </c>
      <c r="N162" s="35" t="str">
        <f t="shared" si="4"/>
        <v/>
      </c>
      <c r="O162" s="35" t="str">
        <f t="shared" si="5"/>
        <v/>
      </c>
      <c r="P162" s="33" t="e">
        <f t="shared" si="6"/>
        <v>#REF!</v>
      </c>
      <c r="Q162" s="2"/>
      <c r="R162" s="2"/>
      <c r="S162" s="2"/>
      <c r="T162" s="2"/>
      <c r="U162" s="2"/>
    </row>
    <row r="163" spans="1:21" ht="12.75" customHeight="1" x14ac:dyDescent="0.2">
      <c r="A163" s="2"/>
      <c r="B163" s="31"/>
      <c r="C163" s="32" t="str">
        <f>IFERROR((IF(B163="","",IF($F$6="","Informar UF / Tabela / Prazo de Pagamento",IF($F$9="","Informar UF / Tabela / Prazo de Pagamento",IF($C$9="","Informar UF / Tabela / Prazo de Pagamento",VLOOKUP(B163,'Tabela 130 '!$A$5:$T$1001,2,FALSE)))))),"REF. NÃO CADASTRADA NA TABELA")</f>
        <v/>
      </c>
      <c r="D163" s="33" t="str">
        <f>IF('FOLHA DE PEDIDO '!B163="","",IF(C163="REF. NÃO CADASTRADA NA TABELA","",VLOOKUP(B163,'Tabela 130 '!$A$5:$AI$801,3,FALSE)))</f>
        <v/>
      </c>
      <c r="E163" s="34"/>
      <c r="F163" s="34"/>
      <c r="G163" s="35" t="str">
        <f>IFERROR(IF(C163="REF. NÃO CADASTRADA NA TABELA","",IF($C$9="","",IF($F$9="","",IF(B163="","",IF($C$9=119,VLOOKUP(B163,'Tabela 130 '!$A$5:$T$2711,MATCH($F$9,'Tabela 130 '!$A$5:$T$5,0),FALSE),IF($C$9=553,VLOOKUP(B163,#REF!,MATCH($F$9,#REF!,0),FALSE),IF($C$9=552,VLOOKUP(B163,#REF!,MATCH($F$9,#REF!,0),FALSE),IF($C$9=551,VLOOKUP(B163,#REF!,MATCH($F$9,#REF!,0),FALSE))))))))),"REF. NÃO CADASTRADA NA TABELA")</f>
        <v/>
      </c>
      <c r="H163" s="36"/>
      <c r="I163" s="37" t="str">
        <f t="shared" si="0"/>
        <v/>
      </c>
      <c r="J163" s="33" t="str">
        <f t="shared" si="1"/>
        <v/>
      </c>
      <c r="K163" s="38" t="str">
        <f>IF($F$6="","",IF(B163="","",IF(C163="REF. NÃO CADASTRADA NA TABELA","",IFERROR(VLOOKUP(B163,#REF!,VLOOKUP($F$6,'BASE CONTÁBIL'!N:O,2,FALSE),FALSE),0))))</f>
        <v/>
      </c>
      <c r="L163" s="35" t="str">
        <f t="shared" si="2"/>
        <v/>
      </c>
      <c r="M163" s="35" t="str">
        <f t="shared" si="3"/>
        <v/>
      </c>
      <c r="N163" s="35" t="str">
        <f t="shared" si="4"/>
        <v/>
      </c>
      <c r="O163" s="35" t="str">
        <f t="shared" si="5"/>
        <v/>
      </c>
      <c r="P163" s="33" t="e">
        <f t="shared" si="6"/>
        <v>#REF!</v>
      </c>
      <c r="Q163" s="2"/>
      <c r="R163" s="2"/>
      <c r="S163" s="2"/>
      <c r="T163" s="2"/>
      <c r="U163" s="2"/>
    </row>
    <row r="164" spans="1:21" ht="12.75" customHeight="1" x14ac:dyDescent="0.2">
      <c r="A164" s="2"/>
      <c r="B164" s="31"/>
      <c r="C164" s="32" t="str">
        <f>IFERROR((IF(B164="","",IF($F$6="","Informar UF / Tabela / Prazo de Pagamento",IF($F$9="","Informar UF / Tabela / Prazo de Pagamento",IF($C$9="","Informar UF / Tabela / Prazo de Pagamento",VLOOKUP(B164,'Tabela 130 '!$A$5:$T$1001,2,FALSE)))))),"REF. NÃO CADASTRADA NA TABELA")</f>
        <v/>
      </c>
      <c r="D164" s="33" t="str">
        <f>IF('FOLHA DE PEDIDO '!B164="","",IF(C164="REF. NÃO CADASTRADA NA TABELA","",VLOOKUP(B164,'Tabela 130 '!$A$5:$AI$801,3,FALSE)))</f>
        <v/>
      </c>
      <c r="E164" s="34"/>
      <c r="F164" s="34"/>
      <c r="G164" s="35" t="str">
        <f>IFERROR(IF(C164="REF. NÃO CADASTRADA NA TABELA","",IF($C$9="","",IF($F$9="","",IF(B164="","",IF($C$9=119,VLOOKUP(B164,'Tabela 130 '!$A$5:$T$2711,MATCH($F$9,'Tabela 130 '!$A$5:$T$5,0),FALSE),IF($C$9=553,VLOOKUP(B164,#REF!,MATCH($F$9,#REF!,0),FALSE),IF($C$9=552,VLOOKUP(B164,#REF!,MATCH($F$9,#REF!,0),FALSE),IF($C$9=551,VLOOKUP(B164,#REF!,MATCH($F$9,#REF!,0),FALSE))))))))),"REF. NÃO CADASTRADA NA TABELA")</f>
        <v/>
      </c>
      <c r="H164" s="36"/>
      <c r="I164" s="37" t="str">
        <f t="shared" si="0"/>
        <v/>
      </c>
      <c r="J164" s="33" t="str">
        <f t="shared" si="1"/>
        <v/>
      </c>
      <c r="K164" s="38" t="str">
        <f>IF($F$6="","",IF(B164="","",IF(C164="REF. NÃO CADASTRADA NA TABELA","",IFERROR(VLOOKUP(B164,#REF!,VLOOKUP($F$6,'BASE CONTÁBIL'!N:O,2,FALSE),FALSE),0))))</f>
        <v/>
      </c>
      <c r="L164" s="35" t="str">
        <f t="shared" si="2"/>
        <v/>
      </c>
      <c r="M164" s="35" t="str">
        <f t="shared" si="3"/>
        <v/>
      </c>
      <c r="N164" s="35" t="str">
        <f t="shared" si="4"/>
        <v/>
      </c>
      <c r="O164" s="35" t="str">
        <f t="shared" si="5"/>
        <v/>
      </c>
      <c r="P164" s="33" t="e">
        <f t="shared" si="6"/>
        <v>#REF!</v>
      </c>
      <c r="Q164" s="2"/>
      <c r="R164" s="2"/>
      <c r="S164" s="2"/>
      <c r="T164" s="2"/>
      <c r="U164" s="2"/>
    </row>
    <row r="165" spans="1:21" ht="12.75" customHeight="1" x14ac:dyDescent="0.2">
      <c r="A165" s="2"/>
      <c r="B165" s="31"/>
      <c r="C165" s="32" t="str">
        <f>IFERROR((IF(B165="","",IF($F$6="","Informar UF / Tabela / Prazo de Pagamento",IF($F$9="","Informar UF / Tabela / Prazo de Pagamento",IF($C$9="","Informar UF / Tabela / Prazo de Pagamento",VLOOKUP(B165,'Tabela 130 '!$A$5:$T$1001,2,FALSE)))))),"REF. NÃO CADASTRADA NA TABELA")</f>
        <v/>
      </c>
      <c r="D165" s="33" t="str">
        <f>IF('FOLHA DE PEDIDO '!B165="","",IF(C165="REF. NÃO CADASTRADA NA TABELA","",VLOOKUP(B165,'Tabela 130 '!$A$5:$AI$801,3,FALSE)))</f>
        <v/>
      </c>
      <c r="E165" s="34"/>
      <c r="F165" s="34"/>
      <c r="G165" s="35" t="str">
        <f>IFERROR(IF(C165="REF. NÃO CADASTRADA NA TABELA","",IF($C$9="","",IF($F$9="","",IF(B165="","",IF($C$9=119,VLOOKUP(B165,'Tabela 130 '!$A$5:$T$2711,MATCH($F$9,'Tabela 130 '!$A$5:$T$5,0),FALSE),IF($C$9=553,VLOOKUP(B165,#REF!,MATCH($F$9,#REF!,0),FALSE),IF($C$9=552,VLOOKUP(B165,#REF!,MATCH($F$9,#REF!,0),FALSE),IF($C$9=551,VLOOKUP(B165,#REF!,MATCH($F$9,#REF!,0),FALSE))))))))),"REF. NÃO CADASTRADA NA TABELA")</f>
        <v/>
      </c>
      <c r="H165" s="36"/>
      <c r="I165" s="37" t="str">
        <f t="shared" si="0"/>
        <v/>
      </c>
      <c r="J165" s="33" t="str">
        <f t="shared" si="1"/>
        <v/>
      </c>
      <c r="K165" s="38" t="str">
        <f>IF($F$6="","",IF(B165="","",IF(C165="REF. NÃO CADASTRADA NA TABELA","",IFERROR(VLOOKUP(B165,#REF!,VLOOKUP($F$6,'BASE CONTÁBIL'!N:O,2,FALSE),FALSE),0))))</f>
        <v/>
      </c>
      <c r="L165" s="35" t="str">
        <f t="shared" si="2"/>
        <v/>
      </c>
      <c r="M165" s="35" t="str">
        <f t="shared" si="3"/>
        <v/>
      </c>
      <c r="N165" s="35" t="str">
        <f t="shared" si="4"/>
        <v/>
      </c>
      <c r="O165" s="35" t="str">
        <f t="shared" si="5"/>
        <v/>
      </c>
      <c r="P165" s="33" t="e">
        <f t="shared" si="6"/>
        <v>#REF!</v>
      </c>
      <c r="Q165" s="2"/>
      <c r="R165" s="2"/>
      <c r="S165" s="2"/>
      <c r="T165" s="2"/>
      <c r="U165" s="2"/>
    </row>
    <row r="166" spans="1:21" ht="12.75" customHeight="1" x14ac:dyDescent="0.2">
      <c r="A166" s="2"/>
      <c r="B166" s="31"/>
      <c r="C166" s="32" t="str">
        <f>IFERROR((IF(B166="","",IF($F$6="","Informar UF / Tabela / Prazo de Pagamento",IF($F$9="","Informar UF / Tabela / Prazo de Pagamento",IF($C$9="","Informar UF / Tabela / Prazo de Pagamento",VLOOKUP(B166,'Tabela 130 '!$A$5:$T$1001,2,FALSE)))))),"REF. NÃO CADASTRADA NA TABELA")</f>
        <v/>
      </c>
      <c r="D166" s="33" t="str">
        <f>IF('FOLHA DE PEDIDO '!B166="","",IF(C166="REF. NÃO CADASTRADA NA TABELA","",VLOOKUP(B166,'Tabela 130 '!$A$5:$AI$801,3,FALSE)))</f>
        <v/>
      </c>
      <c r="E166" s="34"/>
      <c r="F166" s="34"/>
      <c r="G166" s="35" t="str">
        <f>IFERROR(IF(C166="REF. NÃO CADASTRADA NA TABELA","",IF($C$9="","",IF($F$9="","",IF(B166="","",IF($C$9=119,VLOOKUP(B166,'Tabela 130 '!$A$5:$T$2711,MATCH($F$9,'Tabela 130 '!$A$5:$T$5,0),FALSE),IF($C$9=553,VLOOKUP(B166,#REF!,MATCH($F$9,#REF!,0),FALSE),IF($C$9=552,VLOOKUP(B166,#REF!,MATCH($F$9,#REF!,0),FALSE),IF($C$9=551,VLOOKUP(B166,#REF!,MATCH($F$9,#REF!,0),FALSE))))))))),"REF. NÃO CADASTRADA NA TABELA")</f>
        <v/>
      </c>
      <c r="H166" s="36"/>
      <c r="I166" s="37" t="str">
        <f t="shared" si="0"/>
        <v/>
      </c>
      <c r="J166" s="33" t="str">
        <f t="shared" si="1"/>
        <v/>
      </c>
      <c r="K166" s="38" t="str">
        <f>IF($F$6="","",IF(B166="","",IF(C166="REF. NÃO CADASTRADA NA TABELA","",IFERROR(VLOOKUP(B166,#REF!,VLOOKUP($F$6,'BASE CONTÁBIL'!N:O,2,FALSE),FALSE),0))))</f>
        <v/>
      </c>
      <c r="L166" s="35" t="str">
        <f t="shared" si="2"/>
        <v/>
      </c>
      <c r="M166" s="35" t="str">
        <f t="shared" si="3"/>
        <v/>
      </c>
      <c r="N166" s="35" t="str">
        <f t="shared" si="4"/>
        <v/>
      </c>
      <c r="O166" s="35" t="str">
        <f t="shared" si="5"/>
        <v/>
      </c>
      <c r="P166" s="33" t="e">
        <f t="shared" si="6"/>
        <v>#REF!</v>
      </c>
      <c r="Q166" s="2"/>
      <c r="R166" s="2"/>
      <c r="S166" s="2"/>
      <c r="T166" s="2"/>
      <c r="U166" s="2"/>
    </row>
    <row r="167" spans="1:21" ht="12.75" customHeight="1" x14ac:dyDescent="0.2">
      <c r="A167" s="2"/>
      <c r="B167" s="31"/>
      <c r="C167" s="32" t="str">
        <f>IFERROR((IF(B167="","",IF($F$6="","Informar UF / Tabela / Prazo de Pagamento",IF($F$9="","Informar UF / Tabela / Prazo de Pagamento",IF($C$9="","Informar UF / Tabela / Prazo de Pagamento",VLOOKUP(B167,'Tabela 130 '!$A$5:$T$1001,2,FALSE)))))),"REF. NÃO CADASTRADA NA TABELA")</f>
        <v/>
      </c>
      <c r="D167" s="33" t="str">
        <f>IF('FOLHA DE PEDIDO '!B167="","",IF(C167="REF. NÃO CADASTRADA NA TABELA","",VLOOKUP(B167,'Tabela 130 '!$A$5:$AI$801,3,FALSE)))</f>
        <v/>
      </c>
      <c r="E167" s="34"/>
      <c r="F167" s="34"/>
      <c r="G167" s="35" t="str">
        <f>IFERROR(IF(C167="REF. NÃO CADASTRADA NA TABELA","",IF($C$9="","",IF($F$9="","",IF(B167="","",IF($C$9=119,VLOOKUP(B167,'Tabela 130 '!$A$5:$T$2711,MATCH($F$9,'Tabela 130 '!$A$5:$T$5,0),FALSE),IF($C$9=553,VLOOKUP(B167,#REF!,MATCH($F$9,#REF!,0),FALSE),IF($C$9=552,VLOOKUP(B167,#REF!,MATCH($F$9,#REF!,0),FALSE),IF($C$9=551,VLOOKUP(B167,#REF!,MATCH($F$9,#REF!,0),FALSE))))))))),"REF. NÃO CADASTRADA NA TABELA")</f>
        <v/>
      </c>
      <c r="H167" s="36"/>
      <c r="I167" s="37" t="str">
        <f t="shared" si="0"/>
        <v/>
      </c>
      <c r="J167" s="33" t="str">
        <f t="shared" si="1"/>
        <v/>
      </c>
      <c r="K167" s="38" t="str">
        <f>IF($F$6="","",IF(B167="","",IF(C167="REF. NÃO CADASTRADA NA TABELA","",IFERROR(VLOOKUP(B167,#REF!,VLOOKUP($F$6,'BASE CONTÁBIL'!N:O,2,FALSE),FALSE),0))))</f>
        <v/>
      </c>
      <c r="L167" s="35" t="str">
        <f t="shared" si="2"/>
        <v/>
      </c>
      <c r="M167" s="35" t="str">
        <f t="shared" si="3"/>
        <v/>
      </c>
      <c r="N167" s="35" t="str">
        <f t="shared" si="4"/>
        <v/>
      </c>
      <c r="O167" s="35" t="str">
        <f t="shared" si="5"/>
        <v/>
      </c>
      <c r="P167" s="33" t="e">
        <f t="shared" si="6"/>
        <v>#REF!</v>
      </c>
      <c r="Q167" s="2"/>
      <c r="R167" s="2"/>
      <c r="S167" s="2"/>
      <c r="T167" s="2"/>
      <c r="U167" s="2"/>
    </row>
    <row r="168" spans="1:21" ht="12.75" customHeight="1" x14ac:dyDescent="0.2">
      <c r="A168" s="2"/>
      <c r="B168" s="31"/>
      <c r="C168" s="32" t="str">
        <f>IFERROR((IF(B168="","",IF($F$6="","Informar UF / Tabela / Prazo de Pagamento",IF($F$9="","Informar UF / Tabela / Prazo de Pagamento",IF($C$9="","Informar UF / Tabela / Prazo de Pagamento",VLOOKUP(B168,'Tabela 130 '!$A$5:$T$1001,2,FALSE)))))),"REF. NÃO CADASTRADA NA TABELA")</f>
        <v/>
      </c>
      <c r="D168" s="33" t="str">
        <f>IF('FOLHA DE PEDIDO '!B168="","",IF(C168="REF. NÃO CADASTRADA NA TABELA","",VLOOKUP(B168,'Tabela 130 '!$A$5:$AI$801,3,FALSE)))</f>
        <v/>
      </c>
      <c r="E168" s="34"/>
      <c r="F168" s="34"/>
      <c r="G168" s="35" t="str">
        <f>IFERROR(IF(C168="REF. NÃO CADASTRADA NA TABELA","",IF($C$9="","",IF($F$9="","",IF(B168="","",IF($C$9=119,VLOOKUP(B168,'Tabela 130 '!$A$5:$T$2711,MATCH($F$9,'Tabela 130 '!$A$5:$T$5,0),FALSE),IF($C$9=553,VLOOKUP(B168,#REF!,MATCH($F$9,#REF!,0),FALSE),IF($C$9=552,VLOOKUP(B168,#REF!,MATCH($F$9,#REF!,0),FALSE),IF($C$9=551,VLOOKUP(B168,#REF!,MATCH($F$9,#REF!,0),FALSE))))))))),"REF. NÃO CADASTRADA NA TABELA")</f>
        <v/>
      </c>
      <c r="H168" s="36"/>
      <c r="I168" s="37" t="str">
        <f t="shared" si="0"/>
        <v/>
      </c>
      <c r="J168" s="33" t="str">
        <f t="shared" si="1"/>
        <v/>
      </c>
      <c r="K168" s="38" t="str">
        <f>IF($F$6="","",IF(B168="","",IF(C168="REF. NÃO CADASTRADA NA TABELA","",IFERROR(VLOOKUP(B168,#REF!,VLOOKUP($F$6,'BASE CONTÁBIL'!N:O,2,FALSE),FALSE),0))))</f>
        <v/>
      </c>
      <c r="L168" s="35" t="str">
        <f t="shared" si="2"/>
        <v/>
      </c>
      <c r="M168" s="35" t="str">
        <f t="shared" si="3"/>
        <v/>
      </c>
      <c r="N168" s="35" t="str">
        <f t="shared" si="4"/>
        <v/>
      </c>
      <c r="O168" s="35" t="str">
        <f t="shared" si="5"/>
        <v/>
      </c>
      <c r="P168" s="33" t="e">
        <f t="shared" si="6"/>
        <v>#REF!</v>
      </c>
      <c r="Q168" s="2"/>
      <c r="R168" s="2"/>
      <c r="S168" s="2"/>
      <c r="T168" s="2"/>
      <c r="U168" s="2"/>
    </row>
    <row r="169" spans="1:21" ht="12.75" customHeight="1" x14ac:dyDescent="0.2">
      <c r="A169" s="2"/>
      <c r="B169" s="31"/>
      <c r="C169" s="32" t="str">
        <f>IFERROR((IF(B169="","",IF($F$6="","Informar UF / Tabela / Prazo de Pagamento",IF($F$9="","Informar UF / Tabela / Prazo de Pagamento",IF($C$9="","Informar UF / Tabela / Prazo de Pagamento",VLOOKUP(B169,'Tabela 130 '!$A$5:$T$1001,2,FALSE)))))),"REF. NÃO CADASTRADA NA TABELA")</f>
        <v/>
      </c>
      <c r="D169" s="33" t="str">
        <f>IF('FOLHA DE PEDIDO '!B169="","",IF(C169="REF. NÃO CADASTRADA NA TABELA","",VLOOKUP(B169,'Tabela 130 '!$A$5:$AI$801,3,FALSE)))</f>
        <v/>
      </c>
      <c r="E169" s="34"/>
      <c r="F169" s="34"/>
      <c r="G169" s="35" t="str">
        <f>IFERROR(IF(C169="REF. NÃO CADASTRADA NA TABELA","",IF($C$9="","",IF($F$9="","",IF(B169="","",IF($C$9=119,VLOOKUP(B169,'Tabela 130 '!$A$5:$T$2711,MATCH($F$9,'Tabela 130 '!$A$5:$T$5,0),FALSE),IF($C$9=553,VLOOKUP(B169,#REF!,MATCH($F$9,#REF!,0),FALSE),IF($C$9=552,VLOOKUP(B169,#REF!,MATCH($F$9,#REF!,0),FALSE),IF($C$9=551,VLOOKUP(B169,#REF!,MATCH($F$9,#REF!,0),FALSE))))))))),"REF. NÃO CADASTRADA NA TABELA")</f>
        <v/>
      </c>
      <c r="H169" s="36"/>
      <c r="I169" s="37" t="str">
        <f t="shared" si="0"/>
        <v/>
      </c>
      <c r="J169" s="33" t="str">
        <f t="shared" si="1"/>
        <v/>
      </c>
      <c r="K169" s="38" t="str">
        <f>IF($F$6="","",IF(B169="","",IF(C169="REF. NÃO CADASTRADA NA TABELA","",IFERROR(VLOOKUP(B169,#REF!,VLOOKUP($F$6,'BASE CONTÁBIL'!N:O,2,FALSE),FALSE),0))))</f>
        <v/>
      </c>
      <c r="L169" s="35" t="str">
        <f t="shared" si="2"/>
        <v/>
      </c>
      <c r="M169" s="35" t="str">
        <f t="shared" si="3"/>
        <v/>
      </c>
      <c r="N169" s="35" t="str">
        <f t="shared" si="4"/>
        <v/>
      </c>
      <c r="O169" s="35" t="str">
        <f t="shared" si="5"/>
        <v/>
      </c>
      <c r="P169" s="33" t="e">
        <f t="shared" si="6"/>
        <v>#REF!</v>
      </c>
      <c r="Q169" s="2"/>
      <c r="R169" s="2"/>
      <c r="S169" s="2"/>
      <c r="T169" s="2"/>
      <c r="U169" s="2"/>
    </row>
    <row r="170" spans="1:21" ht="12.75" customHeight="1" x14ac:dyDescent="0.2">
      <c r="A170" s="2"/>
      <c r="B170" s="31"/>
      <c r="C170" s="32" t="str">
        <f>IFERROR((IF(B170="","",IF($F$6="","Informar UF / Tabela / Prazo de Pagamento",IF($F$9="","Informar UF / Tabela / Prazo de Pagamento",IF($C$9="","Informar UF / Tabela / Prazo de Pagamento",VLOOKUP(B170,'Tabela 130 '!$A$5:$T$1001,2,FALSE)))))),"REF. NÃO CADASTRADA NA TABELA")</f>
        <v/>
      </c>
      <c r="D170" s="33" t="str">
        <f>IF('FOLHA DE PEDIDO '!B170="","",IF(C170="REF. NÃO CADASTRADA NA TABELA","",VLOOKUP(B170,'Tabela 130 '!$A$5:$AI$801,3,FALSE)))</f>
        <v/>
      </c>
      <c r="E170" s="34"/>
      <c r="F170" s="34"/>
      <c r="G170" s="35" t="str">
        <f>IFERROR(IF(C170="REF. NÃO CADASTRADA NA TABELA","",IF($C$9="","",IF($F$9="","",IF(B170="","",IF($C$9=119,VLOOKUP(B170,'Tabela 130 '!$A$5:$T$2711,MATCH($F$9,'Tabela 130 '!$A$5:$T$5,0),FALSE),IF($C$9=553,VLOOKUP(B170,#REF!,MATCH($F$9,#REF!,0),FALSE),IF($C$9=552,VLOOKUP(B170,#REF!,MATCH($F$9,#REF!,0),FALSE),IF($C$9=551,VLOOKUP(B170,#REF!,MATCH($F$9,#REF!,0),FALSE))))))))),"REF. NÃO CADASTRADA NA TABELA")</f>
        <v/>
      </c>
      <c r="H170" s="36"/>
      <c r="I170" s="37" t="str">
        <f t="shared" si="0"/>
        <v/>
      </c>
      <c r="J170" s="33" t="str">
        <f t="shared" si="1"/>
        <v/>
      </c>
      <c r="K170" s="38" t="str">
        <f>IF($F$6="","",IF(B170="","",IF(C170="REF. NÃO CADASTRADA NA TABELA","",IFERROR(VLOOKUP(B170,#REF!,VLOOKUP($F$6,'BASE CONTÁBIL'!N:O,2,FALSE),FALSE),0))))</f>
        <v/>
      </c>
      <c r="L170" s="35" t="str">
        <f t="shared" si="2"/>
        <v/>
      </c>
      <c r="M170" s="35" t="str">
        <f t="shared" si="3"/>
        <v/>
      </c>
      <c r="N170" s="35" t="str">
        <f t="shared" si="4"/>
        <v/>
      </c>
      <c r="O170" s="35" t="str">
        <f t="shared" si="5"/>
        <v/>
      </c>
      <c r="P170" s="33" t="e">
        <f t="shared" si="6"/>
        <v>#REF!</v>
      </c>
      <c r="Q170" s="2"/>
      <c r="R170" s="2"/>
      <c r="S170" s="2"/>
      <c r="T170" s="2"/>
      <c r="U170" s="2"/>
    </row>
    <row r="171" spans="1:21" ht="12.75" customHeight="1" x14ac:dyDescent="0.2">
      <c r="A171" s="2"/>
      <c r="B171" s="31"/>
      <c r="C171" s="32" t="str">
        <f>IFERROR((IF(B171="","",IF($F$6="","Informar UF / Tabela / Prazo de Pagamento",IF($F$9="","Informar UF / Tabela / Prazo de Pagamento",IF($C$9="","Informar UF / Tabela / Prazo de Pagamento",VLOOKUP(B171,'Tabela 130 '!$A$5:$T$1001,2,FALSE)))))),"REF. NÃO CADASTRADA NA TABELA")</f>
        <v/>
      </c>
      <c r="D171" s="33" t="str">
        <f>IF('FOLHA DE PEDIDO '!B171="","",IF(C171="REF. NÃO CADASTRADA NA TABELA","",VLOOKUP(B171,'Tabela 130 '!$A$5:$AI$801,3,FALSE)))</f>
        <v/>
      </c>
      <c r="E171" s="34"/>
      <c r="F171" s="34"/>
      <c r="G171" s="35" t="str">
        <f>IFERROR(IF(C171="REF. NÃO CADASTRADA NA TABELA","",IF($C$9="","",IF($F$9="","",IF(B171="","",IF($C$9=119,VLOOKUP(B171,'Tabela 130 '!$A$5:$T$2711,MATCH($F$9,'Tabela 130 '!$A$5:$T$5,0),FALSE),IF($C$9=553,VLOOKUP(B171,#REF!,MATCH($F$9,#REF!,0),FALSE),IF($C$9=552,VLOOKUP(B171,#REF!,MATCH($F$9,#REF!,0),FALSE),IF($C$9=551,VLOOKUP(B171,#REF!,MATCH($F$9,#REF!,0),FALSE))))))))),"REF. NÃO CADASTRADA NA TABELA")</f>
        <v/>
      </c>
      <c r="H171" s="36"/>
      <c r="I171" s="37" t="str">
        <f t="shared" si="0"/>
        <v/>
      </c>
      <c r="J171" s="33" t="str">
        <f t="shared" si="1"/>
        <v/>
      </c>
      <c r="K171" s="38" t="str">
        <f>IF($F$6="","",IF(B171="","",IF(C171="REF. NÃO CADASTRADA NA TABELA","",IFERROR(VLOOKUP(B171,#REF!,VLOOKUP($F$6,'BASE CONTÁBIL'!N:O,2,FALSE),FALSE),0))))</f>
        <v/>
      </c>
      <c r="L171" s="35" t="str">
        <f t="shared" si="2"/>
        <v/>
      </c>
      <c r="M171" s="35" t="str">
        <f t="shared" si="3"/>
        <v/>
      </c>
      <c r="N171" s="35" t="str">
        <f t="shared" si="4"/>
        <v/>
      </c>
      <c r="O171" s="35" t="str">
        <f t="shared" si="5"/>
        <v/>
      </c>
      <c r="P171" s="33" t="e">
        <f t="shared" si="6"/>
        <v>#REF!</v>
      </c>
      <c r="Q171" s="2"/>
      <c r="R171" s="2"/>
      <c r="S171" s="2"/>
      <c r="T171" s="2"/>
      <c r="U171" s="2"/>
    </row>
    <row r="172" spans="1:21" ht="12.75" customHeight="1" x14ac:dyDescent="0.2">
      <c r="A172" s="2"/>
      <c r="B172" s="31"/>
      <c r="C172" s="32" t="str">
        <f>IFERROR((IF(B172="","",IF($F$6="","Informar UF / Tabela / Prazo de Pagamento",IF($F$9="","Informar UF / Tabela / Prazo de Pagamento",IF($C$9="","Informar UF / Tabela / Prazo de Pagamento",VLOOKUP(B172,'Tabela 130 '!$A$5:$T$1001,2,FALSE)))))),"REF. NÃO CADASTRADA NA TABELA")</f>
        <v/>
      </c>
      <c r="D172" s="33" t="str">
        <f>IF('FOLHA DE PEDIDO '!B172="","",IF(C172="REF. NÃO CADASTRADA NA TABELA","",VLOOKUP(B172,'Tabela 130 '!$A$5:$AI$801,3,FALSE)))</f>
        <v/>
      </c>
      <c r="E172" s="34"/>
      <c r="F172" s="34"/>
      <c r="G172" s="35" t="str">
        <f>IFERROR(IF(C172="REF. NÃO CADASTRADA NA TABELA","",IF($C$9="","",IF($F$9="","",IF(B172="","",IF($C$9=119,VLOOKUP(B172,'Tabela 130 '!$A$5:$T$2711,MATCH($F$9,'Tabela 130 '!$A$5:$T$5,0),FALSE),IF($C$9=553,VLOOKUP(B172,#REF!,MATCH($F$9,#REF!,0),FALSE),IF($C$9=552,VLOOKUP(B172,#REF!,MATCH($F$9,#REF!,0),FALSE),IF($C$9=551,VLOOKUP(B172,#REF!,MATCH($F$9,#REF!,0),FALSE))))))))),"REF. NÃO CADASTRADA NA TABELA")</f>
        <v/>
      </c>
      <c r="H172" s="36"/>
      <c r="I172" s="37" t="str">
        <f t="shared" si="0"/>
        <v/>
      </c>
      <c r="J172" s="33" t="str">
        <f t="shared" si="1"/>
        <v/>
      </c>
      <c r="K172" s="38" t="str">
        <f>IF($F$6="","",IF(B172="","",IF(C172="REF. NÃO CADASTRADA NA TABELA","",IFERROR(VLOOKUP(B172,#REF!,VLOOKUP($F$6,'BASE CONTÁBIL'!N:O,2,FALSE),FALSE),0))))</f>
        <v/>
      </c>
      <c r="L172" s="35" t="str">
        <f t="shared" si="2"/>
        <v/>
      </c>
      <c r="M172" s="35" t="str">
        <f t="shared" si="3"/>
        <v/>
      </c>
      <c r="N172" s="35" t="str">
        <f t="shared" si="4"/>
        <v/>
      </c>
      <c r="O172" s="35" t="str">
        <f t="shared" si="5"/>
        <v/>
      </c>
      <c r="P172" s="33" t="e">
        <f t="shared" si="6"/>
        <v>#REF!</v>
      </c>
      <c r="Q172" s="2"/>
      <c r="R172" s="2"/>
      <c r="S172" s="2"/>
      <c r="T172" s="2"/>
      <c r="U172" s="2"/>
    </row>
    <row r="173" spans="1:21" ht="12.75" customHeight="1" x14ac:dyDescent="0.2">
      <c r="A173" s="2"/>
      <c r="B173" s="31"/>
      <c r="C173" s="32" t="str">
        <f>IFERROR((IF(B173="","",IF($F$6="","Informar UF / Tabela / Prazo de Pagamento",IF($F$9="","Informar UF / Tabela / Prazo de Pagamento",IF($C$9="","Informar UF / Tabela / Prazo de Pagamento",VLOOKUP(B173,'Tabela 130 '!$A$5:$T$1001,2,FALSE)))))),"REF. NÃO CADASTRADA NA TABELA")</f>
        <v/>
      </c>
      <c r="D173" s="33" t="str">
        <f>IF('FOLHA DE PEDIDO '!B173="","",IF(C173="REF. NÃO CADASTRADA NA TABELA","",VLOOKUP(B173,'Tabela 130 '!$A$5:$AI$801,3,FALSE)))</f>
        <v/>
      </c>
      <c r="E173" s="34"/>
      <c r="F173" s="34"/>
      <c r="G173" s="35" t="str">
        <f>IFERROR(IF(C173="REF. NÃO CADASTRADA NA TABELA","",IF($C$9="","",IF($F$9="","",IF(B173="","",IF($C$9=119,VLOOKUP(B173,'Tabela 130 '!$A$5:$T$2711,MATCH($F$9,'Tabela 130 '!$A$5:$T$5,0),FALSE),IF($C$9=553,VLOOKUP(B173,#REF!,MATCH($F$9,#REF!,0),FALSE),IF($C$9=552,VLOOKUP(B173,#REF!,MATCH($F$9,#REF!,0),FALSE),IF($C$9=551,VLOOKUP(B173,#REF!,MATCH($F$9,#REF!,0),FALSE))))))))),"REF. NÃO CADASTRADA NA TABELA")</f>
        <v/>
      </c>
      <c r="H173" s="36"/>
      <c r="I173" s="37" t="str">
        <f t="shared" si="0"/>
        <v/>
      </c>
      <c r="J173" s="33" t="str">
        <f t="shared" si="1"/>
        <v/>
      </c>
      <c r="K173" s="38" t="str">
        <f>IF($F$6="","",IF(B173="","",IF(C173="REF. NÃO CADASTRADA NA TABELA","",IFERROR(VLOOKUP(B173,#REF!,VLOOKUP($F$6,'BASE CONTÁBIL'!N:O,2,FALSE),FALSE),0))))</f>
        <v/>
      </c>
      <c r="L173" s="35" t="str">
        <f t="shared" si="2"/>
        <v/>
      </c>
      <c r="M173" s="35" t="str">
        <f t="shared" si="3"/>
        <v/>
      </c>
      <c r="N173" s="35" t="str">
        <f t="shared" si="4"/>
        <v/>
      </c>
      <c r="O173" s="35" t="str">
        <f t="shared" si="5"/>
        <v/>
      </c>
      <c r="P173" s="33" t="e">
        <f t="shared" si="6"/>
        <v>#REF!</v>
      </c>
      <c r="Q173" s="2"/>
      <c r="R173" s="2"/>
      <c r="S173" s="2"/>
      <c r="T173" s="2"/>
      <c r="U173" s="2"/>
    </row>
    <row r="174" spans="1:21" ht="12.75" customHeight="1" x14ac:dyDescent="0.2">
      <c r="A174" s="2"/>
      <c r="B174" s="31"/>
      <c r="C174" s="32" t="str">
        <f>IFERROR((IF(B174="","",IF($F$6="","Informar UF / Tabela / Prazo de Pagamento",IF($F$9="","Informar UF / Tabela / Prazo de Pagamento",IF($C$9="","Informar UF / Tabela / Prazo de Pagamento",VLOOKUP(B174,'Tabela 130 '!$A$5:$T$1001,2,FALSE)))))),"REF. NÃO CADASTRADA NA TABELA")</f>
        <v/>
      </c>
      <c r="D174" s="33" t="str">
        <f>IF('FOLHA DE PEDIDO '!B174="","",IF(C174="REF. NÃO CADASTRADA NA TABELA","",VLOOKUP(B174,'Tabela 130 '!$A$5:$AI$801,3,FALSE)))</f>
        <v/>
      </c>
      <c r="E174" s="34"/>
      <c r="F174" s="34"/>
      <c r="G174" s="35" t="str">
        <f>IFERROR(IF(C174="REF. NÃO CADASTRADA NA TABELA","",IF($C$9="","",IF($F$9="","",IF(B174="","",IF($C$9=119,VLOOKUP(B174,'Tabela 130 '!$A$5:$T$2711,MATCH($F$9,'Tabela 130 '!$A$5:$T$5,0),FALSE),IF($C$9=553,VLOOKUP(B174,#REF!,MATCH($F$9,#REF!,0),FALSE),IF($C$9=552,VLOOKUP(B174,#REF!,MATCH($F$9,#REF!,0),FALSE),IF($C$9=551,VLOOKUP(B174,#REF!,MATCH($F$9,#REF!,0),FALSE))))))))),"REF. NÃO CADASTRADA NA TABELA")</f>
        <v/>
      </c>
      <c r="H174" s="36"/>
      <c r="I174" s="37" t="str">
        <f t="shared" si="0"/>
        <v/>
      </c>
      <c r="J174" s="33" t="str">
        <f t="shared" si="1"/>
        <v/>
      </c>
      <c r="K174" s="38" t="str">
        <f>IF($F$6="","",IF(B174="","",IF(C174="REF. NÃO CADASTRADA NA TABELA","",IFERROR(VLOOKUP(B174,#REF!,VLOOKUP($F$6,'BASE CONTÁBIL'!N:O,2,FALSE),FALSE),0))))</f>
        <v/>
      </c>
      <c r="L174" s="35" t="str">
        <f t="shared" si="2"/>
        <v/>
      </c>
      <c r="M174" s="35" t="str">
        <f t="shared" si="3"/>
        <v/>
      </c>
      <c r="N174" s="35" t="str">
        <f t="shared" si="4"/>
        <v/>
      </c>
      <c r="O174" s="35" t="str">
        <f t="shared" si="5"/>
        <v/>
      </c>
      <c r="P174" s="33" t="e">
        <f t="shared" si="6"/>
        <v>#REF!</v>
      </c>
      <c r="Q174" s="2"/>
      <c r="R174" s="2"/>
      <c r="S174" s="2"/>
      <c r="T174" s="2"/>
      <c r="U174" s="2"/>
    </row>
    <row r="175" spans="1:21" ht="12.75" customHeight="1" x14ac:dyDescent="0.2">
      <c r="A175" s="2"/>
      <c r="B175" s="31"/>
      <c r="C175" s="32" t="str">
        <f>IFERROR((IF(B175="","",IF($F$6="","Informar UF / Tabela / Prazo de Pagamento",IF($F$9="","Informar UF / Tabela / Prazo de Pagamento",IF($C$9="","Informar UF / Tabela / Prazo de Pagamento",VLOOKUP(B175,'Tabela 130 '!$A$5:$T$1001,2,FALSE)))))),"REF. NÃO CADASTRADA NA TABELA")</f>
        <v/>
      </c>
      <c r="D175" s="33" t="str">
        <f>IF('FOLHA DE PEDIDO '!B175="","",IF(C175="REF. NÃO CADASTRADA NA TABELA","",VLOOKUP(B175,'Tabela 130 '!$A$5:$AI$801,3,FALSE)))</f>
        <v/>
      </c>
      <c r="E175" s="34"/>
      <c r="F175" s="34"/>
      <c r="G175" s="35" t="str">
        <f>IFERROR(IF(C175="REF. NÃO CADASTRADA NA TABELA","",IF($C$9="","",IF($F$9="","",IF(B175="","",IF($C$9=119,VLOOKUP(B175,'Tabela 130 '!$A$5:$T$2711,MATCH($F$9,'Tabela 130 '!$A$5:$T$5,0),FALSE),IF($C$9=553,VLOOKUP(B175,#REF!,MATCH($F$9,#REF!,0),FALSE),IF($C$9=552,VLOOKUP(B175,#REF!,MATCH($F$9,#REF!,0),FALSE),IF($C$9=551,VLOOKUP(B175,#REF!,MATCH($F$9,#REF!,0),FALSE))))))))),"REF. NÃO CADASTRADA NA TABELA")</f>
        <v/>
      </c>
      <c r="H175" s="36"/>
      <c r="I175" s="37" t="str">
        <f t="shared" si="0"/>
        <v/>
      </c>
      <c r="J175" s="33" t="str">
        <f t="shared" si="1"/>
        <v/>
      </c>
      <c r="K175" s="38" t="str">
        <f>IF($F$6="","",IF(B175="","",IF(C175="REF. NÃO CADASTRADA NA TABELA","",IFERROR(VLOOKUP(B175,#REF!,VLOOKUP($F$6,'BASE CONTÁBIL'!N:O,2,FALSE),FALSE),0))))</f>
        <v/>
      </c>
      <c r="L175" s="35" t="str">
        <f t="shared" si="2"/>
        <v/>
      </c>
      <c r="M175" s="35" t="str">
        <f t="shared" si="3"/>
        <v/>
      </c>
      <c r="N175" s="35" t="str">
        <f t="shared" si="4"/>
        <v/>
      </c>
      <c r="O175" s="35" t="str">
        <f t="shared" si="5"/>
        <v/>
      </c>
      <c r="P175" s="33" t="e">
        <f t="shared" si="6"/>
        <v>#REF!</v>
      </c>
      <c r="Q175" s="2"/>
      <c r="R175" s="2"/>
      <c r="S175" s="2"/>
      <c r="T175" s="2"/>
      <c r="U175" s="2"/>
    </row>
    <row r="176" spans="1:21" ht="12.75" customHeight="1" x14ac:dyDescent="0.2">
      <c r="A176" s="2"/>
      <c r="B176" s="31"/>
      <c r="C176" s="32" t="str">
        <f>IFERROR((IF(B176="","",IF($F$6="","Informar UF / Tabela / Prazo de Pagamento",IF($F$9="","Informar UF / Tabela / Prazo de Pagamento",IF($C$9="","Informar UF / Tabela / Prazo de Pagamento",VLOOKUP(B176,'Tabela 130 '!$A$5:$T$1001,2,FALSE)))))),"REF. NÃO CADASTRADA NA TABELA")</f>
        <v/>
      </c>
      <c r="D176" s="33" t="str">
        <f>IF('FOLHA DE PEDIDO '!B176="","",IF(C176="REF. NÃO CADASTRADA NA TABELA","",VLOOKUP(B176,'Tabela 130 '!$A$5:$AI$801,3,FALSE)))</f>
        <v/>
      </c>
      <c r="E176" s="34"/>
      <c r="F176" s="34"/>
      <c r="G176" s="35" t="str">
        <f>IFERROR(IF(C176="REF. NÃO CADASTRADA NA TABELA","",IF($C$9="","",IF($F$9="","",IF(B176="","",IF($C$9=119,VLOOKUP(B176,'Tabela 130 '!$A$5:$T$2711,MATCH($F$9,'Tabela 130 '!$A$5:$T$5,0),FALSE),IF($C$9=553,VLOOKUP(B176,#REF!,MATCH($F$9,#REF!,0),FALSE),IF($C$9=552,VLOOKUP(B176,#REF!,MATCH($F$9,#REF!,0),FALSE),IF($C$9=551,VLOOKUP(B176,#REF!,MATCH($F$9,#REF!,0),FALSE))))))))),"REF. NÃO CADASTRADA NA TABELA")</f>
        <v/>
      </c>
      <c r="H176" s="36"/>
      <c r="I176" s="37" t="str">
        <f t="shared" si="0"/>
        <v/>
      </c>
      <c r="J176" s="33" t="str">
        <f t="shared" si="1"/>
        <v/>
      </c>
      <c r="K176" s="38" t="str">
        <f>IF($F$6="","",IF(B176="","",IF(C176="REF. NÃO CADASTRADA NA TABELA","",IFERROR(VLOOKUP(B176,#REF!,VLOOKUP($F$6,'BASE CONTÁBIL'!N:O,2,FALSE),FALSE),0))))</f>
        <v/>
      </c>
      <c r="L176" s="35" t="str">
        <f t="shared" si="2"/>
        <v/>
      </c>
      <c r="M176" s="35" t="str">
        <f t="shared" si="3"/>
        <v/>
      </c>
      <c r="N176" s="35" t="str">
        <f t="shared" si="4"/>
        <v/>
      </c>
      <c r="O176" s="35" t="str">
        <f t="shared" si="5"/>
        <v/>
      </c>
      <c r="P176" s="33" t="e">
        <f t="shared" si="6"/>
        <v>#REF!</v>
      </c>
      <c r="Q176" s="2"/>
      <c r="R176" s="2"/>
      <c r="S176" s="2"/>
      <c r="T176" s="2"/>
      <c r="U176" s="2"/>
    </row>
    <row r="177" spans="1:21" ht="12.75" customHeight="1" x14ac:dyDescent="0.2">
      <c r="A177" s="2"/>
      <c r="B177" s="31"/>
      <c r="C177" s="32" t="str">
        <f>IFERROR((IF(B177="","",IF($F$6="","Informar UF / Tabela / Prazo de Pagamento",IF($F$9="","Informar UF / Tabela / Prazo de Pagamento",IF($C$9="","Informar UF / Tabela / Prazo de Pagamento",VLOOKUP(B177,'Tabela 130 '!$A$5:$T$1001,2,FALSE)))))),"REF. NÃO CADASTRADA NA TABELA")</f>
        <v/>
      </c>
      <c r="D177" s="33" t="str">
        <f>IF('FOLHA DE PEDIDO '!B177="","",IF(C177="REF. NÃO CADASTRADA NA TABELA","",VLOOKUP(B177,'Tabela 130 '!$A$5:$AI$801,3,FALSE)))</f>
        <v/>
      </c>
      <c r="E177" s="34"/>
      <c r="F177" s="34"/>
      <c r="G177" s="35" t="str">
        <f>IFERROR(IF(C177="REF. NÃO CADASTRADA NA TABELA","",IF($C$9="","",IF($F$9="","",IF(B177="","",IF($C$9=119,VLOOKUP(B177,'Tabela 130 '!$A$5:$T$2711,MATCH($F$9,'Tabela 130 '!$A$5:$T$5,0),FALSE),IF($C$9=553,VLOOKUP(B177,#REF!,MATCH($F$9,#REF!,0),FALSE),IF($C$9=552,VLOOKUP(B177,#REF!,MATCH($F$9,#REF!,0),FALSE),IF($C$9=551,VLOOKUP(B177,#REF!,MATCH($F$9,#REF!,0),FALSE))))))))),"REF. NÃO CADASTRADA NA TABELA")</f>
        <v/>
      </c>
      <c r="H177" s="36"/>
      <c r="I177" s="37" t="str">
        <f t="shared" si="0"/>
        <v/>
      </c>
      <c r="J177" s="33" t="str">
        <f t="shared" si="1"/>
        <v/>
      </c>
      <c r="K177" s="38" t="str">
        <f>IF($F$6="","",IF(B177="","",IF(C177="REF. NÃO CADASTRADA NA TABELA","",IFERROR(VLOOKUP(B177,#REF!,VLOOKUP($F$6,'BASE CONTÁBIL'!N:O,2,FALSE),FALSE),0))))</f>
        <v/>
      </c>
      <c r="L177" s="35" t="str">
        <f t="shared" si="2"/>
        <v/>
      </c>
      <c r="M177" s="35" t="str">
        <f t="shared" si="3"/>
        <v/>
      </c>
      <c r="N177" s="35" t="str">
        <f t="shared" si="4"/>
        <v/>
      </c>
      <c r="O177" s="35" t="str">
        <f t="shared" si="5"/>
        <v/>
      </c>
      <c r="P177" s="33" t="e">
        <f t="shared" si="6"/>
        <v>#REF!</v>
      </c>
      <c r="Q177" s="2"/>
      <c r="R177" s="2"/>
      <c r="S177" s="2"/>
      <c r="T177" s="2"/>
      <c r="U177" s="2"/>
    </row>
    <row r="178" spans="1:21" ht="12.75" customHeight="1" x14ac:dyDescent="0.2">
      <c r="A178" s="2"/>
      <c r="B178" s="31"/>
      <c r="C178" s="32" t="str">
        <f>IFERROR((IF(B178="","",IF($F$6="","Informar UF / Tabela / Prazo de Pagamento",IF($F$9="","Informar UF / Tabela / Prazo de Pagamento",IF($C$9="","Informar UF / Tabela / Prazo de Pagamento",VLOOKUP(B178,'Tabela 130 '!$A$5:$T$1001,2,FALSE)))))),"REF. NÃO CADASTRADA NA TABELA")</f>
        <v/>
      </c>
      <c r="D178" s="33" t="str">
        <f>IF('FOLHA DE PEDIDO '!B178="","",IF(C178="REF. NÃO CADASTRADA NA TABELA","",VLOOKUP(B178,'Tabela 130 '!$A$5:$AI$801,3,FALSE)))</f>
        <v/>
      </c>
      <c r="E178" s="34"/>
      <c r="F178" s="34"/>
      <c r="G178" s="35" t="str">
        <f>IFERROR(IF(C178="REF. NÃO CADASTRADA NA TABELA","",IF($C$9="","",IF($F$9="","",IF(B178="","",IF($C$9=119,VLOOKUP(B178,'Tabela 130 '!$A$5:$T$2711,MATCH($F$9,'Tabela 130 '!$A$5:$T$5,0),FALSE),IF($C$9=553,VLOOKUP(B178,#REF!,MATCH($F$9,#REF!,0),FALSE),IF($C$9=552,VLOOKUP(B178,#REF!,MATCH($F$9,#REF!,0),FALSE),IF($C$9=551,VLOOKUP(B178,#REF!,MATCH($F$9,#REF!,0),FALSE))))))))),"REF. NÃO CADASTRADA NA TABELA")</f>
        <v/>
      </c>
      <c r="H178" s="36"/>
      <c r="I178" s="37" t="str">
        <f t="shared" si="0"/>
        <v/>
      </c>
      <c r="J178" s="33" t="str">
        <f t="shared" si="1"/>
        <v/>
      </c>
      <c r="K178" s="38" t="str">
        <f>IF($F$6="","",IF(B178="","",IF(C178="REF. NÃO CADASTRADA NA TABELA","",IFERROR(VLOOKUP(B178,#REF!,VLOOKUP($F$6,'BASE CONTÁBIL'!N:O,2,FALSE),FALSE),0))))</f>
        <v/>
      </c>
      <c r="L178" s="35" t="str">
        <f t="shared" si="2"/>
        <v/>
      </c>
      <c r="M178" s="35" t="str">
        <f t="shared" si="3"/>
        <v/>
      </c>
      <c r="N178" s="35" t="str">
        <f t="shared" si="4"/>
        <v/>
      </c>
      <c r="O178" s="35" t="str">
        <f t="shared" si="5"/>
        <v/>
      </c>
      <c r="P178" s="33" t="e">
        <f t="shared" si="6"/>
        <v>#REF!</v>
      </c>
      <c r="Q178" s="2"/>
      <c r="R178" s="2"/>
      <c r="S178" s="2"/>
      <c r="T178" s="2"/>
      <c r="U178" s="2"/>
    </row>
    <row r="179" spans="1:21" ht="12.75" customHeight="1" x14ac:dyDescent="0.2">
      <c r="A179" s="2"/>
      <c r="B179" s="31"/>
      <c r="C179" s="32" t="str">
        <f>IFERROR((IF(B179="","",IF($F$6="","Informar UF / Tabela / Prazo de Pagamento",IF($F$9="","Informar UF / Tabela / Prazo de Pagamento",IF($C$9="","Informar UF / Tabela / Prazo de Pagamento",VLOOKUP(B179,'Tabela 130 '!$A$5:$T$1001,2,FALSE)))))),"REF. NÃO CADASTRADA NA TABELA")</f>
        <v/>
      </c>
      <c r="D179" s="33" t="str">
        <f>IF('FOLHA DE PEDIDO '!B179="","",IF(C179="REF. NÃO CADASTRADA NA TABELA","",VLOOKUP(B179,'Tabela 130 '!$A$5:$AI$801,3,FALSE)))</f>
        <v/>
      </c>
      <c r="E179" s="34"/>
      <c r="F179" s="34"/>
      <c r="G179" s="35" t="str">
        <f>IFERROR(IF(C179="REF. NÃO CADASTRADA NA TABELA","",IF($C$9="","",IF($F$9="","",IF(B179="","",IF($C$9=119,VLOOKUP(B179,'Tabela 130 '!$A$5:$T$2711,MATCH($F$9,'Tabela 130 '!$A$5:$T$5,0),FALSE),IF($C$9=553,VLOOKUP(B179,#REF!,MATCH($F$9,#REF!,0),FALSE),IF($C$9=552,VLOOKUP(B179,#REF!,MATCH($F$9,#REF!,0),FALSE),IF($C$9=551,VLOOKUP(B179,#REF!,MATCH($F$9,#REF!,0),FALSE))))))))),"REF. NÃO CADASTRADA NA TABELA")</f>
        <v/>
      </c>
      <c r="H179" s="36"/>
      <c r="I179" s="37" t="str">
        <f t="shared" si="0"/>
        <v/>
      </c>
      <c r="J179" s="33" t="str">
        <f t="shared" si="1"/>
        <v/>
      </c>
      <c r="K179" s="38" t="str">
        <f>IF($F$6="","",IF(B179="","",IF(C179="REF. NÃO CADASTRADA NA TABELA","",IFERROR(VLOOKUP(B179,#REF!,VLOOKUP($F$6,'BASE CONTÁBIL'!N:O,2,FALSE),FALSE),0))))</f>
        <v/>
      </c>
      <c r="L179" s="35" t="str">
        <f t="shared" si="2"/>
        <v/>
      </c>
      <c r="M179" s="35" t="str">
        <f t="shared" si="3"/>
        <v/>
      </c>
      <c r="N179" s="35" t="str">
        <f t="shared" si="4"/>
        <v/>
      </c>
      <c r="O179" s="35" t="str">
        <f t="shared" si="5"/>
        <v/>
      </c>
      <c r="P179" s="33" t="e">
        <f t="shared" si="6"/>
        <v>#REF!</v>
      </c>
      <c r="Q179" s="2"/>
      <c r="R179" s="2"/>
      <c r="S179" s="2"/>
      <c r="T179" s="2"/>
      <c r="U179" s="2"/>
    </row>
    <row r="180" spans="1:21" ht="12.75" customHeight="1" x14ac:dyDescent="0.2">
      <c r="A180" s="2"/>
      <c r="B180" s="31"/>
      <c r="C180" s="32" t="str">
        <f>IFERROR((IF(B180="","",IF($F$6="","Informar UF / Tabela / Prazo de Pagamento",IF($F$9="","Informar UF / Tabela / Prazo de Pagamento",IF($C$9="","Informar UF / Tabela / Prazo de Pagamento",VLOOKUP(B180,'Tabela 130 '!$A$5:$T$1001,2,FALSE)))))),"REF. NÃO CADASTRADA NA TABELA")</f>
        <v/>
      </c>
      <c r="D180" s="33" t="str">
        <f>IF('FOLHA DE PEDIDO '!B180="","",IF(C180="REF. NÃO CADASTRADA NA TABELA","",VLOOKUP(B180,'Tabela 130 '!$A$5:$AI$801,3,FALSE)))</f>
        <v/>
      </c>
      <c r="E180" s="34"/>
      <c r="F180" s="34"/>
      <c r="G180" s="35" t="str">
        <f>IFERROR(IF(C180="REF. NÃO CADASTRADA NA TABELA","",IF($C$9="","",IF($F$9="","",IF(B180="","",IF($C$9=119,VLOOKUP(B180,'Tabela 130 '!$A$5:$T$2711,MATCH($F$9,'Tabela 130 '!$A$5:$T$5,0),FALSE),IF($C$9=553,VLOOKUP(B180,#REF!,MATCH($F$9,#REF!,0),FALSE),IF($C$9=552,VLOOKUP(B180,#REF!,MATCH($F$9,#REF!,0),FALSE),IF($C$9=551,VLOOKUP(B180,#REF!,MATCH($F$9,#REF!,0),FALSE))))))))),"REF. NÃO CADASTRADA NA TABELA")</f>
        <v/>
      </c>
      <c r="H180" s="36"/>
      <c r="I180" s="37" t="str">
        <f t="shared" si="0"/>
        <v/>
      </c>
      <c r="J180" s="33" t="str">
        <f t="shared" si="1"/>
        <v/>
      </c>
      <c r="K180" s="38" t="str">
        <f>IF($F$6="","",IF(B180="","",IF(C180="REF. NÃO CADASTRADA NA TABELA","",IFERROR(VLOOKUP(B180,#REF!,VLOOKUP($F$6,'BASE CONTÁBIL'!N:O,2,FALSE),FALSE),0))))</f>
        <v/>
      </c>
      <c r="L180" s="35" t="str">
        <f t="shared" si="2"/>
        <v/>
      </c>
      <c r="M180" s="35" t="str">
        <f t="shared" si="3"/>
        <v/>
      </c>
      <c r="N180" s="35" t="str">
        <f t="shared" si="4"/>
        <v/>
      </c>
      <c r="O180" s="35" t="str">
        <f t="shared" si="5"/>
        <v/>
      </c>
      <c r="P180" s="33" t="e">
        <f t="shared" si="6"/>
        <v>#REF!</v>
      </c>
      <c r="Q180" s="2"/>
      <c r="R180" s="2"/>
      <c r="S180" s="2"/>
      <c r="T180" s="2"/>
      <c r="U180" s="2"/>
    </row>
    <row r="181" spans="1:21" ht="12.75" customHeight="1" x14ac:dyDescent="0.2">
      <c r="A181" s="2"/>
      <c r="B181" s="31"/>
      <c r="C181" s="32" t="str">
        <f>IFERROR((IF(B181="","",IF($F$6="","Informar UF / Tabela / Prazo de Pagamento",IF($F$9="","Informar UF / Tabela / Prazo de Pagamento",IF($C$9="","Informar UF / Tabela / Prazo de Pagamento",VLOOKUP(B181,'Tabela 130 '!$A$5:$T$1001,2,FALSE)))))),"REF. NÃO CADASTRADA NA TABELA")</f>
        <v/>
      </c>
      <c r="D181" s="33" t="str">
        <f>IF('FOLHA DE PEDIDO '!B181="","",IF(C181="REF. NÃO CADASTRADA NA TABELA","",VLOOKUP(B181,'Tabela 130 '!$A$5:$AI$801,3,FALSE)))</f>
        <v/>
      </c>
      <c r="E181" s="34"/>
      <c r="F181" s="34"/>
      <c r="G181" s="35" t="str">
        <f>IFERROR(IF(C181="REF. NÃO CADASTRADA NA TABELA","",IF($C$9="","",IF($F$9="","",IF(B181="","",IF($C$9=119,VLOOKUP(B181,'Tabela 130 '!$A$5:$T$2711,MATCH($F$9,'Tabela 130 '!$A$5:$T$5,0),FALSE),IF($C$9=553,VLOOKUP(B181,#REF!,MATCH($F$9,#REF!,0),FALSE),IF($C$9=552,VLOOKUP(B181,#REF!,MATCH($F$9,#REF!,0),FALSE),IF($C$9=551,VLOOKUP(B181,#REF!,MATCH($F$9,#REF!,0),FALSE))))))))),"REF. NÃO CADASTRADA NA TABELA")</f>
        <v/>
      </c>
      <c r="H181" s="36"/>
      <c r="I181" s="37" t="str">
        <f t="shared" si="0"/>
        <v/>
      </c>
      <c r="J181" s="33" t="str">
        <f t="shared" si="1"/>
        <v/>
      </c>
      <c r="K181" s="38" t="str">
        <f>IF($F$6="","",IF(B181="","",IF(C181="REF. NÃO CADASTRADA NA TABELA","",IFERROR(VLOOKUP(B181,#REF!,VLOOKUP($F$6,'BASE CONTÁBIL'!N:O,2,FALSE),FALSE),0))))</f>
        <v/>
      </c>
      <c r="L181" s="35" t="str">
        <f t="shared" si="2"/>
        <v/>
      </c>
      <c r="M181" s="35" t="str">
        <f t="shared" si="3"/>
        <v/>
      </c>
      <c r="N181" s="35" t="str">
        <f t="shared" si="4"/>
        <v/>
      </c>
      <c r="O181" s="35" t="str">
        <f t="shared" si="5"/>
        <v/>
      </c>
      <c r="P181" s="33" t="e">
        <f t="shared" si="6"/>
        <v>#REF!</v>
      </c>
      <c r="Q181" s="2"/>
      <c r="R181" s="2"/>
      <c r="S181" s="2"/>
      <c r="T181" s="2"/>
      <c r="U181" s="2"/>
    </row>
    <row r="182" spans="1:21" ht="12.75" customHeight="1" x14ac:dyDescent="0.2">
      <c r="A182" s="2"/>
      <c r="B182" s="31"/>
      <c r="C182" s="32" t="str">
        <f>IFERROR((IF(B182="","",IF($F$6="","Informar UF / Tabela / Prazo de Pagamento",IF($F$9="","Informar UF / Tabela / Prazo de Pagamento",IF($C$9="","Informar UF / Tabela / Prazo de Pagamento",VLOOKUP(B182,'Tabela 130 '!$A$5:$T$1001,2,FALSE)))))),"REF. NÃO CADASTRADA NA TABELA")</f>
        <v/>
      </c>
      <c r="D182" s="33" t="str">
        <f>IF('FOLHA DE PEDIDO '!B182="","",IF(C182="REF. NÃO CADASTRADA NA TABELA","",VLOOKUP(B182,'Tabela 130 '!$A$5:$AI$801,3,FALSE)))</f>
        <v/>
      </c>
      <c r="E182" s="34"/>
      <c r="F182" s="34"/>
      <c r="G182" s="35" t="str">
        <f>IFERROR(IF(C182="REF. NÃO CADASTRADA NA TABELA","",IF($C$9="","",IF($F$9="","",IF(B182="","",IF($C$9=119,VLOOKUP(B182,'Tabela 130 '!$A$5:$T$2711,MATCH($F$9,'Tabela 130 '!$A$5:$T$5,0),FALSE),IF($C$9=553,VLOOKUP(B182,#REF!,MATCH($F$9,#REF!,0),FALSE),IF($C$9=552,VLOOKUP(B182,#REF!,MATCH($F$9,#REF!,0),FALSE),IF($C$9=551,VLOOKUP(B182,#REF!,MATCH($F$9,#REF!,0),FALSE))))))))),"REF. NÃO CADASTRADA NA TABELA")</f>
        <v/>
      </c>
      <c r="H182" s="36"/>
      <c r="I182" s="37" t="str">
        <f t="shared" si="0"/>
        <v/>
      </c>
      <c r="J182" s="33" t="str">
        <f t="shared" si="1"/>
        <v/>
      </c>
      <c r="K182" s="38" t="str">
        <f>IF($F$6="","",IF(B182="","",IF(C182="REF. NÃO CADASTRADA NA TABELA","",IFERROR(VLOOKUP(B182,#REF!,VLOOKUP($F$6,'BASE CONTÁBIL'!N:O,2,FALSE),FALSE),0))))</f>
        <v/>
      </c>
      <c r="L182" s="35" t="str">
        <f t="shared" si="2"/>
        <v/>
      </c>
      <c r="M182" s="35" t="str">
        <f t="shared" si="3"/>
        <v/>
      </c>
      <c r="N182" s="35" t="str">
        <f t="shared" si="4"/>
        <v/>
      </c>
      <c r="O182" s="35" t="str">
        <f t="shared" si="5"/>
        <v/>
      </c>
      <c r="P182" s="33" t="e">
        <f t="shared" si="6"/>
        <v>#REF!</v>
      </c>
      <c r="Q182" s="2"/>
      <c r="R182" s="2"/>
      <c r="S182" s="2"/>
      <c r="T182" s="2"/>
      <c r="U182" s="2"/>
    </row>
    <row r="183" spans="1:21" ht="12.75" customHeight="1" x14ac:dyDescent="0.2">
      <c r="A183" s="2"/>
      <c r="B183" s="31"/>
      <c r="C183" s="32" t="str">
        <f>IFERROR((IF(B183="","",IF($F$6="","Informar UF / Tabela / Prazo de Pagamento",IF($F$9="","Informar UF / Tabela / Prazo de Pagamento",IF($C$9="","Informar UF / Tabela / Prazo de Pagamento",VLOOKUP(B183,'Tabela 130 '!$A$5:$T$1001,2,FALSE)))))),"REF. NÃO CADASTRADA NA TABELA")</f>
        <v/>
      </c>
      <c r="D183" s="33" t="str">
        <f>IF('FOLHA DE PEDIDO '!B183="","",IF(C183="REF. NÃO CADASTRADA NA TABELA","",VLOOKUP(B183,'Tabela 130 '!$A$5:$AI$801,3,FALSE)))</f>
        <v/>
      </c>
      <c r="E183" s="34"/>
      <c r="F183" s="34"/>
      <c r="G183" s="35" t="str">
        <f>IFERROR(IF(C183="REF. NÃO CADASTRADA NA TABELA","",IF($C$9="","",IF($F$9="","",IF(B183="","",IF($C$9=119,VLOOKUP(B183,'Tabela 130 '!$A$5:$T$2711,MATCH($F$9,'Tabela 130 '!$A$5:$T$5,0),FALSE),IF($C$9=553,VLOOKUP(B183,#REF!,MATCH($F$9,#REF!,0),FALSE),IF($C$9=552,VLOOKUP(B183,#REF!,MATCH($F$9,#REF!,0),FALSE),IF($C$9=551,VLOOKUP(B183,#REF!,MATCH($F$9,#REF!,0),FALSE))))))))),"REF. NÃO CADASTRADA NA TABELA")</f>
        <v/>
      </c>
      <c r="H183" s="36"/>
      <c r="I183" s="37" t="str">
        <f t="shared" si="0"/>
        <v/>
      </c>
      <c r="J183" s="33" t="str">
        <f t="shared" si="1"/>
        <v/>
      </c>
      <c r="K183" s="38" t="str">
        <f>IF($F$6="","",IF(B183="","",IF(C183="REF. NÃO CADASTRADA NA TABELA","",IFERROR(VLOOKUP(B183,#REF!,VLOOKUP($F$6,'BASE CONTÁBIL'!N:O,2,FALSE),FALSE),0))))</f>
        <v/>
      </c>
      <c r="L183" s="35" t="str">
        <f t="shared" si="2"/>
        <v/>
      </c>
      <c r="M183" s="35" t="str">
        <f t="shared" si="3"/>
        <v/>
      </c>
      <c r="N183" s="35" t="str">
        <f t="shared" si="4"/>
        <v/>
      </c>
      <c r="O183" s="35" t="str">
        <f t="shared" si="5"/>
        <v/>
      </c>
      <c r="P183" s="33" t="e">
        <f t="shared" si="6"/>
        <v>#REF!</v>
      </c>
      <c r="Q183" s="2"/>
      <c r="R183" s="2"/>
      <c r="S183" s="2"/>
      <c r="T183" s="2"/>
      <c r="U183" s="2"/>
    </row>
    <row r="184" spans="1:21" ht="12.75" customHeight="1" x14ac:dyDescent="0.2">
      <c r="A184" s="2"/>
      <c r="B184" s="31"/>
      <c r="C184" s="32" t="str">
        <f>IFERROR((IF(B184="","",IF($F$6="","Informar UF / Tabela / Prazo de Pagamento",IF($F$9="","Informar UF / Tabela / Prazo de Pagamento",IF($C$9="","Informar UF / Tabela / Prazo de Pagamento",VLOOKUP(B184,'Tabela 130 '!$A$5:$T$1001,2,FALSE)))))),"REF. NÃO CADASTRADA NA TABELA")</f>
        <v/>
      </c>
      <c r="D184" s="33" t="str">
        <f>IF('FOLHA DE PEDIDO '!B184="","",IF(C184="REF. NÃO CADASTRADA NA TABELA","",VLOOKUP(B184,'Tabela 130 '!$A$5:$AI$801,3,FALSE)))</f>
        <v/>
      </c>
      <c r="E184" s="34"/>
      <c r="F184" s="34"/>
      <c r="G184" s="35" t="str">
        <f>IFERROR(IF(C184="REF. NÃO CADASTRADA NA TABELA","",IF($C$9="","",IF($F$9="","",IF(B184="","",IF($C$9=119,VLOOKUP(B184,'Tabela 130 '!$A$5:$T$2711,MATCH($F$9,'Tabela 130 '!$A$5:$T$5,0),FALSE),IF($C$9=553,VLOOKUP(B184,#REF!,MATCH($F$9,#REF!,0),FALSE),IF($C$9=552,VLOOKUP(B184,#REF!,MATCH($F$9,#REF!,0),FALSE),IF($C$9=551,VLOOKUP(B184,#REF!,MATCH($F$9,#REF!,0),FALSE))))))))),"REF. NÃO CADASTRADA NA TABELA")</f>
        <v/>
      </c>
      <c r="H184" s="36"/>
      <c r="I184" s="37" t="str">
        <f t="shared" si="0"/>
        <v/>
      </c>
      <c r="J184" s="33" t="str">
        <f t="shared" si="1"/>
        <v/>
      </c>
      <c r="K184" s="38" t="str">
        <f>IF($F$6="","",IF(B184="","",IF(C184="REF. NÃO CADASTRADA NA TABELA","",IFERROR(VLOOKUP(B184,#REF!,VLOOKUP($F$6,'BASE CONTÁBIL'!N:O,2,FALSE),FALSE),0))))</f>
        <v/>
      </c>
      <c r="L184" s="35" t="str">
        <f t="shared" si="2"/>
        <v/>
      </c>
      <c r="M184" s="35" t="str">
        <f t="shared" si="3"/>
        <v/>
      </c>
      <c r="N184" s="35" t="str">
        <f t="shared" si="4"/>
        <v/>
      </c>
      <c r="O184" s="35" t="str">
        <f t="shared" si="5"/>
        <v/>
      </c>
      <c r="P184" s="33" t="e">
        <f t="shared" si="6"/>
        <v>#REF!</v>
      </c>
      <c r="Q184" s="2"/>
      <c r="R184" s="2"/>
      <c r="S184" s="2"/>
      <c r="T184" s="2"/>
      <c r="U184" s="2"/>
    </row>
    <row r="185" spans="1:21" ht="12.75" customHeight="1" x14ac:dyDescent="0.2">
      <c r="A185" s="2"/>
      <c r="B185" s="31"/>
      <c r="C185" s="32" t="str">
        <f>IFERROR((IF(B185="","",IF($F$6="","Informar UF / Tabela / Prazo de Pagamento",IF($F$9="","Informar UF / Tabela / Prazo de Pagamento",IF($C$9="","Informar UF / Tabela / Prazo de Pagamento",VLOOKUP(B185,'Tabela 130 '!$A$5:$T$1001,2,FALSE)))))),"REF. NÃO CADASTRADA NA TABELA")</f>
        <v/>
      </c>
      <c r="D185" s="33" t="str">
        <f>IF('FOLHA DE PEDIDO '!B185="","",IF(C185="REF. NÃO CADASTRADA NA TABELA","",VLOOKUP(B185,'Tabela 130 '!$A$5:$AI$801,3,FALSE)))</f>
        <v/>
      </c>
      <c r="E185" s="34"/>
      <c r="F185" s="34"/>
      <c r="G185" s="35" t="str">
        <f>IFERROR(IF(C185="REF. NÃO CADASTRADA NA TABELA","",IF($C$9="","",IF($F$9="","",IF(B185="","",IF($C$9=119,VLOOKUP(B185,'Tabela 130 '!$A$5:$T$2711,MATCH($F$9,'Tabela 130 '!$A$5:$T$5,0),FALSE),IF($C$9=553,VLOOKUP(B185,#REF!,MATCH($F$9,#REF!,0),FALSE),IF($C$9=552,VLOOKUP(B185,#REF!,MATCH($F$9,#REF!,0),FALSE),IF($C$9=551,VLOOKUP(B185,#REF!,MATCH($F$9,#REF!,0),FALSE))))))))),"REF. NÃO CADASTRADA NA TABELA")</f>
        <v/>
      </c>
      <c r="H185" s="36"/>
      <c r="I185" s="37" t="str">
        <f t="shared" si="0"/>
        <v/>
      </c>
      <c r="J185" s="33" t="str">
        <f t="shared" si="1"/>
        <v/>
      </c>
      <c r="K185" s="38" t="str">
        <f>IF($F$6="","",IF(B185="","",IF(C185="REF. NÃO CADASTRADA NA TABELA","",IFERROR(VLOOKUP(B185,#REF!,VLOOKUP($F$6,'BASE CONTÁBIL'!N:O,2,FALSE),FALSE),0))))</f>
        <v/>
      </c>
      <c r="L185" s="35" t="str">
        <f t="shared" si="2"/>
        <v/>
      </c>
      <c r="M185" s="35" t="str">
        <f t="shared" si="3"/>
        <v/>
      </c>
      <c r="N185" s="35" t="str">
        <f t="shared" si="4"/>
        <v/>
      </c>
      <c r="O185" s="35" t="str">
        <f t="shared" si="5"/>
        <v/>
      </c>
      <c r="P185" s="33" t="e">
        <f t="shared" si="6"/>
        <v>#REF!</v>
      </c>
      <c r="Q185" s="2"/>
      <c r="R185" s="2"/>
      <c r="S185" s="2"/>
      <c r="T185" s="2"/>
      <c r="U185" s="2"/>
    </row>
    <row r="186" spans="1:21" ht="12.75" customHeight="1" x14ac:dyDescent="0.2">
      <c r="A186" s="2"/>
      <c r="B186" s="31"/>
      <c r="C186" s="32" t="str">
        <f>IFERROR((IF(B186="","",IF($F$6="","Informar UF / Tabela / Prazo de Pagamento",IF($F$9="","Informar UF / Tabela / Prazo de Pagamento",IF($C$9="","Informar UF / Tabela / Prazo de Pagamento",VLOOKUP(B186,'Tabela 130 '!$A$5:$T$1001,2,FALSE)))))),"REF. NÃO CADASTRADA NA TABELA")</f>
        <v/>
      </c>
      <c r="D186" s="33" t="str">
        <f>IF('FOLHA DE PEDIDO '!B186="","",IF(C186="REF. NÃO CADASTRADA NA TABELA","",VLOOKUP(B186,'Tabela 130 '!$A$5:$AI$801,3,FALSE)))</f>
        <v/>
      </c>
      <c r="E186" s="34"/>
      <c r="F186" s="34"/>
      <c r="G186" s="35" t="str">
        <f>IFERROR(IF(C186="REF. NÃO CADASTRADA NA TABELA","",IF($C$9="","",IF($F$9="","",IF(B186="","",IF($C$9=119,VLOOKUP(B186,'Tabela 130 '!$A$5:$T$2711,MATCH($F$9,'Tabela 130 '!$A$5:$T$5,0),FALSE),IF($C$9=553,VLOOKUP(B186,#REF!,MATCH($F$9,#REF!,0),FALSE),IF($C$9=552,VLOOKUP(B186,#REF!,MATCH($F$9,#REF!,0),FALSE),IF($C$9=551,VLOOKUP(B186,#REF!,MATCH($F$9,#REF!,0),FALSE))))))))),"REF. NÃO CADASTRADA NA TABELA")</f>
        <v/>
      </c>
      <c r="H186" s="36"/>
      <c r="I186" s="37" t="str">
        <f t="shared" si="0"/>
        <v/>
      </c>
      <c r="J186" s="33" t="str">
        <f t="shared" si="1"/>
        <v/>
      </c>
      <c r="K186" s="38" t="str">
        <f>IF($F$6="","",IF(B186="","",IF(C186="REF. NÃO CADASTRADA NA TABELA","",IFERROR(VLOOKUP(B186,#REF!,VLOOKUP($F$6,'BASE CONTÁBIL'!N:O,2,FALSE),FALSE),0))))</f>
        <v/>
      </c>
      <c r="L186" s="35" t="str">
        <f t="shared" si="2"/>
        <v/>
      </c>
      <c r="M186" s="35" t="str">
        <f t="shared" si="3"/>
        <v/>
      </c>
      <c r="N186" s="35" t="str">
        <f t="shared" si="4"/>
        <v/>
      </c>
      <c r="O186" s="35" t="str">
        <f t="shared" si="5"/>
        <v/>
      </c>
      <c r="P186" s="33" t="e">
        <f t="shared" si="6"/>
        <v>#REF!</v>
      </c>
      <c r="Q186" s="2"/>
      <c r="R186" s="2"/>
      <c r="S186" s="2"/>
      <c r="T186" s="2"/>
      <c r="U186" s="2"/>
    </row>
    <row r="187" spans="1:21" ht="12.75" customHeight="1" x14ac:dyDescent="0.2">
      <c r="A187" s="2"/>
      <c r="B187" s="31"/>
      <c r="C187" s="32" t="str">
        <f>IFERROR((IF(B187="","",IF($F$6="","Informar UF / Tabela / Prazo de Pagamento",IF($F$9="","Informar UF / Tabela / Prazo de Pagamento",IF($C$9="","Informar UF / Tabela / Prazo de Pagamento",VLOOKUP(B187,'Tabela 130 '!$A$5:$T$1001,2,FALSE)))))),"REF. NÃO CADASTRADA NA TABELA")</f>
        <v/>
      </c>
      <c r="D187" s="33" t="str">
        <f>IF('FOLHA DE PEDIDO '!B187="","",IF(C187="REF. NÃO CADASTRADA NA TABELA","",VLOOKUP(B187,'Tabela 130 '!$A$5:$AI$801,3,FALSE)))</f>
        <v/>
      </c>
      <c r="E187" s="34"/>
      <c r="F187" s="34"/>
      <c r="G187" s="35" t="str">
        <f>IFERROR(IF(C187="REF. NÃO CADASTRADA NA TABELA","",IF($C$9="","",IF($F$9="","",IF(B187="","",IF($C$9=119,VLOOKUP(B187,'Tabela 130 '!$A$5:$T$2711,MATCH($F$9,'Tabela 130 '!$A$5:$T$5,0),FALSE),IF($C$9=553,VLOOKUP(B187,#REF!,MATCH($F$9,#REF!,0),FALSE),IF($C$9=552,VLOOKUP(B187,#REF!,MATCH($F$9,#REF!,0),FALSE),IF($C$9=551,VLOOKUP(B187,#REF!,MATCH($F$9,#REF!,0),FALSE))))))))),"REF. NÃO CADASTRADA NA TABELA")</f>
        <v/>
      </c>
      <c r="H187" s="36"/>
      <c r="I187" s="37" t="str">
        <f t="shared" si="0"/>
        <v/>
      </c>
      <c r="J187" s="33" t="str">
        <f t="shared" si="1"/>
        <v/>
      </c>
      <c r="K187" s="38" t="str">
        <f>IF($F$6="","",IF(B187="","",IF(C187="REF. NÃO CADASTRADA NA TABELA","",IFERROR(VLOOKUP(B187,#REF!,VLOOKUP($F$6,'BASE CONTÁBIL'!N:O,2,FALSE),FALSE),0))))</f>
        <v/>
      </c>
      <c r="L187" s="35" t="str">
        <f t="shared" si="2"/>
        <v/>
      </c>
      <c r="M187" s="35" t="str">
        <f t="shared" si="3"/>
        <v/>
      </c>
      <c r="N187" s="35" t="str">
        <f t="shared" si="4"/>
        <v/>
      </c>
      <c r="O187" s="35" t="str">
        <f t="shared" si="5"/>
        <v/>
      </c>
      <c r="P187" s="33" t="e">
        <f t="shared" si="6"/>
        <v>#REF!</v>
      </c>
      <c r="Q187" s="2"/>
      <c r="R187" s="2"/>
      <c r="S187" s="2"/>
      <c r="T187" s="2"/>
      <c r="U187" s="2"/>
    </row>
    <row r="188" spans="1:21" ht="12.75" customHeight="1" x14ac:dyDescent="0.2">
      <c r="A188" s="2"/>
      <c r="B188" s="31"/>
      <c r="C188" s="32" t="str">
        <f>IFERROR((IF(B188="","",IF($F$6="","Informar UF / Tabela / Prazo de Pagamento",IF($F$9="","Informar UF / Tabela / Prazo de Pagamento",IF($C$9="","Informar UF / Tabela / Prazo de Pagamento",VLOOKUP(B188,'Tabela 130 '!$A$5:$T$1001,2,FALSE)))))),"REF. NÃO CADASTRADA NA TABELA")</f>
        <v/>
      </c>
      <c r="D188" s="33" t="str">
        <f>IF('FOLHA DE PEDIDO '!B188="","",IF(C188="REF. NÃO CADASTRADA NA TABELA","",VLOOKUP(B188,'Tabela 130 '!$A$5:$AI$801,3,FALSE)))</f>
        <v/>
      </c>
      <c r="E188" s="34"/>
      <c r="F188" s="34"/>
      <c r="G188" s="35" t="str">
        <f>IFERROR(IF(C188="REF. NÃO CADASTRADA NA TABELA","",IF($C$9="","",IF($F$9="","",IF(B188="","",IF($C$9=119,VLOOKUP(B188,'Tabela 130 '!$A$5:$T$2711,MATCH($F$9,'Tabela 130 '!$A$5:$T$5,0),FALSE),IF($C$9=553,VLOOKUP(B188,#REF!,MATCH($F$9,#REF!,0),FALSE),IF($C$9=552,VLOOKUP(B188,#REF!,MATCH($F$9,#REF!,0),FALSE),IF($C$9=551,VLOOKUP(B188,#REF!,MATCH($F$9,#REF!,0),FALSE))))))))),"REF. NÃO CADASTRADA NA TABELA")</f>
        <v/>
      </c>
      <c r="H188" s="36"/>
      <c r="I188" s="37" t="str">
        <f t="shared" si="0"/>
        <v/>
      </c>
      <c r="J188" s="33" t="str">
        <f t="shared" si="1"/>
        <v/>
      </c>
      <c r="K188" s="38" t="str">
        <f>IF($F$6="","",IF(B188="","",IF(C188="REF. NÃO CADASTRADA NA TABELA","",IFERROR(VLOOKUP(B188,#REF!,VLOOKUP($F$6,'BASE CONTÁBIL'!N:O,2,FALSE),FALSE),0))))</f>
        <v/>
      </c>
      <c r="L188" s="35" t="str">
        <f t="shared" si="2"/>
        <v/>
      </c>
      <c r="M188" s="35" t="str">
        <f t="shared" si="3"/>
        <v/>
      </c>
      <c r="N188" s="35" t="str">
        <f t="shared" si="4"/>
        <v/>
      </c>
      <c r="O188" s="35" t="str">
        <f t="shared" si="5"/>
        <v/>
      </c>
      <c r="P188" s="33" t="e">
        <f t="shared" si="6"/>
        <v>#REF!</v>
      </c>
      <c r="Q188" s="2"/>
      <c r="R188" s="2"/>
      <c r="S188" s="2"/>
      <c r="T188" s="2"/>
      <c r="U188" s="2"/>
    </row>
    <row r="189" spans="1:21" ht="12.75" customHeight="1" x14ac:dyDescent="0.2">
      <c r="A189" s="2"/>
      <c r="B189" s="31"/>
      <c r="C189" s="32" t="str">
        <f>IFERROR((IF(B189="","",IF($F$6="","Informar UF / Tabela / Prazo de Pagamento",IF($F$9="","Informar UF / Tabela / Prazo de Pagamento",IF($C$9="","Informar UF / Tabela / Prazo de Pagamento",VLOOKUP(B189,'Tabela 130 '!$A$5:$T$1001,2,FALSE)))))),"REF. NÃO CADASTRADA NA TABELA")</f>
        <v/>
      </c>
      <c r="D189" s="33" t="str">
        <f>IF('FOLHA DE PEDIDO '!B189="","",IF(C189="REF. NÃO CADASTRADA NA TABELA","",VLOOKUP(B189,'Tabela 130 '!$A$5:$AI$801,3,FALSE)))</f>
        <v/>
      </c>
      <c r="E189" s="34"/>
      <c r="F189" s="34"/>
      <c r="G189" s="35" t="str">
        <f>IFERROR(IF(C189="REF. NÃO CADASTRADA NA TABELA","",IF($C$9="","",IF($F$9="","",IF(B189="","",IF($C$9=119,VLOOKUP(B189,'Tabela 130 '!$A$5:$T$2711,MATCH($F$9,'Tabela 130 '!$A$5:$T$5,0),FALSE),IF($C$9=553,VLOOKUP(B189,#REF!,MATCH($F$9,#REF!,0),FALSE),IF($C$9=552,VLOOKUP(B189,#REF!,MATCH($F$9,#REF!,0),FALSE),IF($C$9=551,VLOOKUP(B189,#REF!,MATCH($F$9,#REF!,0),FALSE))))))))),"REF. NÃO CADASTRADA NA TABELA")</f>
        <v/>
      </c>
      <c r="H189" s="36"/>
      <c r="I189" s="37" t="str">
        <f t="shared" si="0"/>
        <v/>
      </c>
      <c r="J189" s="33" t="str">
        <f t="shared" si="1"/>
        <v/>
      </c>
      <c r="K189" s="38" t="str">
        <f>IF($F$6="","",IF(B189="","",IF(C189="REF. NÃO CADASTRADA NA TABELA","",IFERROR(VLOOKUP(B189,#REF!,VLOOKUP($F$6,'BASE CONTÁBIL'!N:O,2,FALSE),FALSE),0))))</f>
        <v/>
      </c>
      <c r="L189" s="35" t="str">
        <f t="shared" si="2"/>
        <v/>
      </c>
      <c r="M189" s="35" t="str">
        <f t="shared" si="3"/>
        <v/>
      </c>
      <c r="N189" s="35" t="str">
        <f t="shared" si="4"/>
        <v/>
      </c>
      <c r="O189" s="35" t="str">
        <f t="shared" si="5"/>
        <v/>
      </c>
      <c r="P189" s="33" t="e">
        <f t="shared" si="6"/>
        <v>#REF!</v>
      </c>
      <c r="Q189" s="2"/>
      <c r="R189" s="2"/>
      <c r="S189" s="2"/>
      <c r="T189" s="2"/>
      <c r="U189" s="2"/>
    </row>
    <row r="190" spans="1:21" ht="12.75" customHeight="1" x14ac:dyDescent="0.2">
      <c r="A190" s="2"/>
      <c r="B190" s="31"/>
      <c r="C190" s="32" t="str">
        <f>IFERROR((IF(B190="","",IF($F$6="","Informar UF / Tabela / Prazo de Pagamento",IF($F$9="","Informar UF / Tabela / Prazo de Pagamento",IF($C$9="","Informar UF / Tabela / Prazo de Pagamento",VLOOKUP(B190,'Tabela 130 '!$A$5:$T$1001,2,FALSE)))))),"REF. NÃO CADASTRADA NA TABELA")</f>
        <v/>
      </c>
      <c r="D190" s="33" t="str">
        <f>IF('FOLHA DE PEDIDO '!B190="","",IF(C190="REF. NÃO CADASTRADA NA TABELA","",VLOOKUP(B190,'Tabela 130 '!$A$5:$AI$801,3,FALSE)))</f>
        <v/>
      </c>
      <c r="E190" s="34"/>
      <c r="F190" s="34"/>
      <c r="G190" s="35" t="str">
        <f>IFERROR(IF(C190="REF. NÃO CADASTRADA NA TABELA","",IF($C$9="","",IF($F$9="","",IF(B190="","",IF($C$9=119,VLOOKUP(B190,'Tabela 130 '!$A$5:$T$2711,MATCH($F$9,'Tabela 130 '!$A$5:$T$5,0),FALSE),IF($C$9=553,VLOOKUP(B190,#REF!,MATCH($F$9,#REF!,0),FALSE),IF($C$9=552,VLOOKUP(B190,#REF!,MATCH($F$9,#REF!,0),FALSE),IF($C$9=551,VLOOKUP(B190,#REF!,MATCH($F$9,#REF!,0),FALSE))))))))),"REF. NÃO CADASTRADA NA TABELA")</f>
        <v/>
      </c>
      <c r="H190" s="36"/>
      <c r="I190" s="37" t="str">
        <f t="shared" si="0"/>
        <v/>
      </c>
      <c r="J190" s="33" t="str">
        <f t="shared" si="1"/>
        <v/>
      </c>
      <c r="K190" s="38" t="str">
        <f>IF($F$6="","",IF(B190="","",IF(C190="REF. NÃO CADASTRADA NA TABELA","",IFERROR(VLOOKUP(B190,#REF!,VLOOKUP($F$6,'BASE CONTÁBIL'!N:O,2,FALSE),FALSE),0))))</f>
        <v/>
      </c>
      <c r="L190" s="35" t="str">
        <f t="shared" si="2"/>
        <v/>
      </c>
      <c r="M190" s="35" t="str">
        <f t="shared" si="3"/>
        <v/>
      </c>
      <c r="N190" s="35" t="str">
        <f t="shared" si="4"/>
        <v/>
      </c>
      <c r="O190" s="35" t="str">
        <f t="shared" si="5"/>
        <v/>
      </c>
      <c r="P190" s="33" t="e">
        <f t="shared" si="6"/>
        <v>#REF!</v>
      </c>
      <c r="Q190" s="2"/>
      <c r="R190" s="2"/>
      <c r="S190" s="2"/>
      <c r="T190" s="2"/>
      <c r="U190" s="2"/>
    </row>
    <row r="191" spans="1:21" ht="12.75" customHeight="1" x14ac:dyDescent="0.2">
      <c r="A191" s="2"/>
      <c r="B191" s="31"/>
      <c r="C191" s="32" t="str">
        <f>IFERROR((IF(B191="","",IF($F$6="","Informar UF / Tabela / Prazo de Pagamento",IF($F$9="","Informar UF / Tabela / Prazo de Pagamento",IF($C$9="","Informar UF / Tabela / Prazo de Pagamento",VLOOKUP(B191,'Tabela 130 '!$A$5:$T$1001,2,FALSE)))))),"REF. NÃO CADASTRADA NA TABELA")</f>
        <v/>
      </c>
      <c r="D191" s="33" t="str">
        <f>IF('FOLHA DE PEDIDO '!B191="","",IF(C191="REF. NÃO CADASTRADA NA TABELA","",VLOOKUP(B191,'Tabela 130 '!$A$5:$AI$801,3,FALSE)))</f>
        <v/>
      </c>
      <c r="E191" s="34"/>
      <c r="F191" s="34"/>
      <c r="G191" s="35" t="str">
        <f>IFERROR(IF(C191="REF. NÃO CADASTRADA NA TABELA","",IF($C$9="","",IF($F$9="","",IF(B191="","",IF($C$9=119,VLOOKUP(B191,'Tabela 130 '!$A$5:$T$2711,MATCH($F$9,'Tabela 130 '!$A$5:$T$5,0),FALSE),IF($C$9=553,VLOOKUP(B191,#REF!,MATCH($F$9,#REF!,0),FALSE),IF($C$9=552,VLOOKUP(B191,#REF!,MATCH($F$9,#REF!,0),FALSE),IF($C$9=551,VLOOKUP(B191,#REF!,MATCH($F$9,#REF!,0),FALSE))))))))),"REF. NÃO CADASTRADA NA TABELA")</f>
        <v/>
      </c>
      <c r="H191" s="36"/>
      <c r="I191" s="37" t="str">
        <f t="shared" si="0"/>
        <v/>
      </c>
      <c r="J191" s="33" t="str">
        <f t="shared" si="1"/>
        <v/>
      </c>
      <c r="K191" s="38" t="str">
        <f>IF($F$6="","",IF(B191="","",IF(C191="REF. NÃO CADASTRADA NA TABELA","",IFERROR(VLOOKUP(B191,#REF!,VLOOKUP($F$6,'BASE CONTÁBIL'!N:O,2,FALSE),FALSE),0))))</f>
        <v/>
      </c>
      <c r="L191" s="35" t="str">
        <f t="shared" si="2"/>
        <v/>
      </c>
      <c r="M191" s="35" t="str">
        <f t="shared" si="3"/>
        <v/>
      </c>
      <c r="N191" s="35" t="str">
        <f t="shared" si="4"/>
        <v/>
      </c>
      <c r="O191" s="35" t="str">
        <f t="shared" si="5"/>
        <v/>
      </c>
      <c r="P191" s="33" t="e">
        <f t="shared" si="6"/>
        <v>#REF!</v>
      </c>
      <c r="Q191" s="2"/>
      <c r="R191" s="2"/>
      <c r="S191" s="2"/>
      <c r="T191" s="2"/>
      <c r="U191" s="2"/>
    </row>
    <row r="192" spans="1:21" ht="12.75" customHeight="1" x14ac:dyDescent="0.2">
      <c r="A192" s="2"/>
      <c r="B192" s="31"/>
      <c r="C192" s="32" t="str">
        <f>IFERROR((IF(B192="","",IF($F$6="","Informar UF / Tabela / Prazo de Pagamento",IF($F$9="","Informar UF / Tabela / Prazo de Pagamento",IF($C$9="","Informar UF / Tabela / Prazo de Pagamento",VLOOKUP(B192,'Tabela 130 '!$A$5:$T$1001,2,FALSE)))))),"REF. NÃO CADASTRADA NA TABELA")</f>
        <v/>
      </c>
      <c r="D192" s="33" t="str">
        <f>IF('FOLHA DE PEDIDO '!B192="","",IF(C192="REF. NÃO CADASTRADA NA TABELA","",VLOOKUP(B192,'Tabela 130 '!$A$5:$AI$801,3,FALSE)))</f>
        <v/>
      </c>
      <c r="E192" s="34"/>
      <c r="F192" s="34"/>
      <c r="G192" s="35" t="str">
        <f>IFERROR(IF(C192="REF. NÃO CADASTRADA NA TABELA","",IF($C$9="","",IF($F$9="","",IF(B192="","",IF($C$9=119,VLOOKUP(B192,'Tabela 130 '!$A$5:$T$2711,MATCH($F$9,'Tabela 130 '!$A$5:$T$5,0),FALSE),IF($C$9=553,VLOOKUP(B192,#REF!,MATCH($F$9,#REF!,0),FALSE),IF($C$9=552,VLOOKUP(B192,#REF!,MATCH($F$9,#REF!,0),FALSE),IF($C$9=551,VLOOKUP(B192,#REF!,MATCH($F$9,#REF!,0),FALSE))))))))),"REF. NÃO CADASTRADA NA TABELA")</f>
        <v/>
      </c>
      <c r="H192" s="36"/>
      <c r="I192" s="37" t="str">
        <f t="shared" si="0"/>
        <v/>
      </c>
      <c r="J192" s="33" t="str">
        <f t="shared" si="1"/>
        <v/>
      </c>
      <c r="K192" s="38" t="str">
        <f>IF($F$6="","",IF(B192="","",IF(C192="REF. NÃO CADASTRADA NA TABELA","",IFERROR(VLOOKUP(B192,#REF!,VLOOKUP($F$6,'BASE CONTÁBIL'!N:O,2,FALSE),FALSE),0))))</f>
        <v/>
      </c>
      <c r="L192" s="35" t="str">
        <f t="shared" si="2"/>
        <v/>
      </c>
      <c r="M192" s="35" t="str">
        <f t="shared" si="3"/>
        <v/>
      </c>
      <c r="N192" s="35" t="str">
        <f t="shared" si="4"/>
        <v/>
      </c>
      <c r="O192" s="35" t="str">
        <f t="shared" si="5"/>
        <v/>
      </c>
      <c r="P192" s="33" t="e">
        <f t="shared" si="6"/>
        <v>#REF!</v>
      </c>
      <c r="Q192" s="2"/>
      <c r="R192" s="2"/>
      <c r="S192" s="2"/>
      <c r="T192" s="2"/>
      <c r="U192" s="2"/>
    </row>
    <row r="193" spans="1:21" ht="12.75" customHeight="1" x14ac:dyDescent="0.2">
      <c r="A193" s="2"/>
      <c r="B193" s="31"/>
      <c r="C193" s="32" t="str">
        <f>IFERROR((IF(B193="","",IF($F$6="","Informar UF / Tabela / Prazo de Pagamento",IF($F$9="","Informar UF / Tabela / Prazo de Pagamento",IF($C$9="","Informar UF / Tabela / Prazo de Pagamento",VLOOKUP(B193,'Tabela 130 '!$A$5:$T$1001,2,FALSE)))))),"REF. NÃO CADASTRADA NA TABELA")</f>
        <v/>
      </c>
      <c r="D193" s="33" t="str">
        <f>IF('FOLHA DE PEDIDO '!B193="","",IF(C193="REF. NÃO CADASTRADA NA TABELA","",VLOOKUP(B193,'Tabela 130 '!$A$5:$AI$801,3,FALSE)))</f>
        <v/>
      </c>
      <c r="E193" s="34"/>
      <c r="F193" s="34"/>
      <c r="G193" s="35" t="str">
        <f>IFERROR(IF(C193="REF. NÃO CADASTRADA NA TABELA","",IF($C$9="","",IF($F$9="","",IF(B193="","",IF($C$9=119,VLOOKUP(B193,'Tabela 130 '!$A$5:$T$2711,MATCH($F$9,'Tabela 130 '!$A$5:$T$5,0),FALSE),IF($C$9=553,VLOOKUP(B193,#REF!,MATCH($F$9,#REF!,0),FALSE),IF($C$9=552,VLOOKUP(B193,#REF!,MATCH($F$9,#REF!,0),FALSE),IF($C$9=551,VLOOKUP(B193,#REF!,MATCH($F$9,#REF!,0),FALSE))))))))),"REF. NÃO CADASTRADA NA TABELA")</f>
        <v/>
      </c>
      <c r="H193" s="36"/>
      <c r="I193" s="37" t="str">
        <f t="shared" si="0"/>
        <v/>
      </c>
      <c r="J193" s="33" t="str">
        <f t="shared" si="1"/>
        <v/>
      </c>
      <c r="K193" s="38" t="str">
        <f>IF($F$6="","",IF(B193="","",IF(C193="REF. NÃO CADASTRADA NA TABELA","",IFERROR(VLOOKUP(B193,#REF!,VLOOKUP($F$6,'BASE CONTÁBIL'!N:O,2,FALSE),FALSE),0))))</f>
        <v/>
      </c>
      <c r="L193" s="35" t="str">
        <f t="shared" si="2"/>
        <v/>
      </c>
      <c r="M193" s="35" t="str">
        <f t="shared" si="3"/>
        <v/>
      </c>
      <c r="N193" s="35" t="str">
        <f t="shared" si="4"/>
        <v/>
      </c>
      <c r="O193" s="35" t="str">
        <f t="shared" si="5"/>
        <v/>
      </c>
      <c r="P193" s="33" t="e">
        <f t="shared" si="6"/>
        <v>#REF!</v>
      </c>
      <c r="Q193" s="2"/>
      <c r="R193" s="2"/>
      <c r="S193" s="2"/>
      <c r="T193" s="2"/>
      <c r="U193" s="2"/>
    </row>
    <row r="194" spans="1:21" ht="12.75" customHeight="1" x14ac:dyDescent="0.2">
      <c r="A194" s="2"/>
      <c r="B194" s="31"/>
      <c r="C194" s="32" t="str">
        <f>IFERROR((IF(B194="","",IF($F$6="","Informar UF / Tabela / Prazo de Pagamento",IF($F$9="","Informar UF / Tabela / Prazo de Pagamento",IF($C$9="","Informar UF / Tabela / Prazo de Pagamento",VLOOKUP(B194,'Tabela 130 '!$A$5:$T$1001,2,FALSE)))))),"REF. NÃO CADASTRADA NA TABELA")</f>
        <v/>
      </c>
      <c r="D194" s="33" t="str">
        <f>IF('FOLHA DE PEDIDO '!B194="","",IF(C194="REF. NÃO CADASTRADA NA TABELA","",VLOOKUP(B194,'Tabela 130 '!$A$5:$AI$801,3,FALSE)))</f>
        <v/>
      </c>
      <c r="E194" s="34"/>
      <c r="F194" s="34"/>
      <c r="G194" s="35" t="str">
        <f>IFERROR(IF(C194="REF. NÃO CADASTRADA NA TABELA","",IF($C$9="","",IF($F$9="","",IF(B194="","",IF($C$9=119,VLOOKUP(B194,'Tabela 130 '!$A$5:$T$2711,MATCH($F$9,'Tabela 130 '!$A$5:$T$5,0),FALSE),IF($C$9=553,VLOOKUP(B194,#REF!,MATCH($F$9,#REF!,0),FALSE),IF($C$9=552,VLOOKUP(B194,#REF!,MATCH($F$9,#REF!,0),FALSE),IF($C$9=551,VLOOKUP(B194,#REF!,MATCH($F$9,#REF!,0),FALSE))))))))),"REF. NÃO CADASTRADA NA TABELA")</f>
        <v/>
      </c>
      <c r="H194" s="36"/>
      <c r="I194" s="37" t="str">
        <f t="shared" si="0"/>
        <v/>
      </c>
      <c r="J194" s="33" t="str">
        <f t="shared" si="1"/>
        <v/>
      </c>
      <c r="K194" s="38" t="str">
        <f>IF($F$6="","",IF(B194="","",IF(C194="REF. NÃO CADASTRADA NA TABELA","",IFERROR(VLOOKUP(B194,#REF!,VLOOKUP($F$6,'BASE CONTÁBIL'!N:O,2,FALSE),FALSE),0))))</f>
        <v/>
      </c>
      <c r="L194" s="35" t="str">
        <f t="shared" si="2"/>
        <v/>
      </c>
      <c r="M194" s="35" t="str">
        <f t="shared" si="3"/>
        <v/>
      </c>
      <c r="N194" s="35" t="str">
        <f t="shared" si="4"/>
        <v/>
      </c>
      <c r="O194" s="35" t="str">
        <f t="shared" si="5"/>
        <v/>
      </c>
      <c r="P194" s="33" t="e">
        <f t="shared" si="6"/>
        <v>#REF!</v>
      </c>
      <c r="Q194" s="2"/>
      <c r="R194" s="2"/>
      <c r="S194" s="2"/>
      <c r="T194" s="2"/>
      <c r="U194" s="2"/>
    </row>
    <row r="195" spans="1:21" ht="12.75" customHeight="1" x14ac:dyDescent="0.2">
      <c r="A195" s="2"/>
      <c r="B195" s="31"/>
      <c r="C195" s="32" t="str">
        <f>IFERROR((IF(B195="","",IF($F$6="","Informar UF / Tabela / Prazo de Pagamento",IF($F$9="","Informar UF / Tabela / Prazo de Pagamento",IF($C$9="","Informar UF / Tabela / Prazo de Pagamento",VLOOKUP(B195,'Tabela 130 '!$A$5:$T$1001,2,FALSE)))))),"REF. NÃO CADASTRADA NA TABELA")</f>
        <v/>
      </c>
      <c r="D195" s="33" t="str">
        <f>IF('FOLHA DE PEDIDO '!B195="","",IF(C195="REF. NÃO CADASTRADA NA TABELA","",VLOOKUP(B195,'Tabela 130 '!$A$5:$AI$801,3,FALSE)))</f>
        <v/>
      </c>
      <c r="E195" s="34"/>
      <c r="F195" s="34"/>
      <c r="G195" s="35" t="str">
        <f>IFERROR(IF(C195="REF. NÃO CADASTRADA NA TABELA","",IF($C$9="","",IF($F$9="","",IF(B195="","",IF($C$9=119,VLOOKUP(B195,'Tabela 130 '!$A$5:$T$2711,MATCH($F$9,'Tabela 130 '!$A$5:$T$5,0),FALSE),IF($C$9=553,VLOOKUP(B195,#REF!,MATCH($F$9,#REF!,0),FALSE),IF($C$9=552,VLOOKUP(B195,#REF!,MATCH($F$9,#REF!,0),FALSE),IF($C$9=551,VLOOKUP(B195,#REF!,MATCH($F$9,#REF!,0),FALSE))))))))),"REF. NÃO CADASTRADA NA TABELA")</f>
        <v/>
      </c>
      <c r="H195" s="36"/>
      <c r="I195" s="37" t="str">
        <f t="shared" si="0"/>
        <v/>
      </c>
      <c r="J195" s="33" t="str">
        <f t="shared" si="1"/>
        <v/>
      </c>
      <c r="K195" s="38" t="str">
        <f>IF($F$6="","",IF(B195="","",IF(C195="REF. NÃO CADASTRADA NA TABELA","",IFERROR(VLOOKUP(B195,#REF!,VLOOKUP($F$6,'BASE CONTÁBIL'!N:O,2,FALSE),FALSE),0))))</f>
        <v/>
      </c>
      <c r="L195" s="35" t="str">
        <f t="shared" si="2"/>
        <v/>
      </c>
      <c r="M195" s="35" t="str">
        <f t="shared" si="3"/>
        <v/>
      </c>
      <c r="N195" s="35" t="str">
        <f t="shared" si="4"/>
        <v/>
      </c>
      <c r="O195" s="35" t="str">
        <f t="shared" si="5"/>
        <v/>
      </c>
      <c r="P195" s="33" t="e">
        <f t="shared" si="6"/>
        <v>#REF!</v>
      </c>
      <c r="Q195" s="2"/>
      <c r="R195" s="2"/>
      <c r="S195" s="2"/>
      <c r="T195" s="2"/>
      <c r="U195" s="2"/>
    </row>
    <row r="196" spans="1:21" ht="12.75" customHeight="1" x14ac:dyDescent="0.2">
      <c r="A196" s="2"/>
      <c r="B196" s="31"/>
      <c r="C196" s="32" t="str">
        <f>IFERROR((IF(B196="","",IF($F$6="","Informar UF / Tabela / Prazo de Pagamento",IF($F$9="","Informar UF / Tabela / Prazo de Pagamento",IF($C$9="","Informar UF / Tabela / Prazo de Pagamento",VLOOKUP(B196,'Tabela 130 '!$A$5:$T$1001,2,FALSE)))))),"REF. NÃO CADASTRADA NA TABELA")</f>
        <v/>
      </c>
      <c r="D196" s="33" t="str">
        <f>IF('FOLHA DE PEDIDO '!B196="","",IF(C196="REF. NÃO CADASTRADA NA TABELA","",VLOOKUP(B196,'Tabela 130 '!$A$5:$AI$801,3,FALSE)))</f>
        <v/>
      </c>
      <c r="E196" s="34"/>
      <c r="F196" s="34"/>
      <c r="G196" s="35" t="str">
        <f>IFERROR(IF(C196="REF. NÃO CADASTRADA NA TABELA","",IF($C$9="","",IF($F$9="","",IF(B196="","",IF($C$9=119,VLOOKUP(B196,'Tabela 130 '!$A$5:$T$2711,MATCH($F$9,'Tabela 130 '!$A$5:$T$5,0),FALSE),IF($C$9=553,VLOOKUP(B196,#REF!,MATCH($F$9,#REF!,0),FALSE),IF($C$9=552,VLOOKUP(B196,#REF!,MATCH($F$9,#REF!,0),FALSE),IF($C$9=551,VLOOKUP(B196,#REF!,MATCH($F$9,#REF!,0),FALSE))))))))),"REF. NÃO CADASTRADA NA TABELA")</f>
        <v/>
      </c>
      <c r="H196" s="36"/>
      <c r="I196" s="37" t="str">
        <f t="shared" si="0"/>
        <v/>
      </c>
      <c r="J196" s="33" t="str">
        <f t="shared" si="1"/>
        <v/>
      </c>
      <c r="K196" s="38" t="str">
        <f>IF($F$6="","",IF(B196="","",IF(C196="REF. NÃO CADASTRADA NA TABELA","",IFERROR(VLOOKUP(B196,#REF!,VLOOKUP($F$6,'BASE CONTÁBIL'!N:O,2,FALSE),FALSE),0))))</f>
        <v/>
      </c>
      <c r="L196" s="35" t="str">
        <f t="shared" si="2"/>
        <v/>
      </c>
      <c r="M196" s="35" t="str">
        <f t="shared" si="3"/>
        <v/>
      </c>
      <c r="N196" s="35" t="str">
        <f t="shared" si="4"/>
        <v/>
      </c>
      <c r="O196" s="35" t="str">
        <f t="shared" si="5"/>
        <v/>
      </c>
      <c r="P196" s="33" t="e">
        <f t="shared" si="6"/>
        <v>#REF!</v>
      </c>
      <c r="Q196" s="2"/>
      <c r="R196" s="2"/>
      <c r="S196" s="2"/>
      <c r="T196" s="2"/>
      <c r="U196" s="2"/>
    </row>
    <row r="197" spans="1:21" ht="12.75" customHeight="1" x14ac:dyDescent="0.2">
      <c r="A197" s="2"/>
      <c r="B197" s="31"/>
      <c r="C197" s="32" t="str">
        <f>IFERROR((IF(B197="","",IF($F$6="","Informar UF / Tabela / Prazo de Pagamento",IF($F$9="","Informar UF / Tabela / Prazo de Pagamento",IF($C$9="","Informar UF / Tabela / Prazo de Pagamento",VLOOKUP(B197,'Tabela 130 '!$A$5:$T$1001,2,FALSE)))))),"REF. NÃO CADASTRADA NA TABELA")</f>
        <v/>
      </c>
      <c r="D197" s="33" t="str">
        <f>IF('FOLHA DE PEDIDO '!B197="","",IF(C197="REF. NÃO CADASTRADA NA TABELA","",VLOOKUP(B197,'Tabela 130 '!$A$5:$AI$801,3,FALSE)))</f>
        <v/>
      </c>
      <c r="E197" s="34"/>
      <c r="F197" s="34"/>
      <c r="G197" s="35" t="str">
        <f>IFERROR(IF(C197="REF. NÃO CADASTRADA NA TABELA","",IF($C$9="","",IF($F$9="","",IF(B197="","",IF($C$9=119,VLOOKUP(B197,'Tabela 130 '!$A$5:$T$2711,MATCH($F$9,'Tabela 130 '!$A$5:$T$5,0),FALSE),IF($C$9=553,VLOOKUP(B197,#REF!,MATCH($F$9,#REF!,0),FALSE),IF($C$9=552,VLOOKUP(B197,#REF!,MATCH($F$9,#REF!,0),FALSE),IF($C$9=551,VLOOKUP(B197,#REF!,MATCH($F$9,#REF!,0),FALSE))))))))),"REF. NÃO CADASTRADA NA TABELA")</f>
        <v/>
      </c>
      <c r="H197" s="36"/>
      <c r="I197" s="37" t="str">
        <f t="shared" si="0"/>
        <v/>
      </c>
      <c r="J197" s="33" t="str">
        <f t="shared" si="1"/>
        <v/>
      </c>
      <c r="K197" s="38" t="str">
        <f>IF($F$6="","",IF(B197="","",IF(C197="REF. NÃO CADASTRADA NA TABELA","",IFERROR(VLOOKUP(B197,#REF!,VLOOKUP($F$6,'BASE CONTÁBIL'!N:O,2,FALSE),FALSE),0))))</f>
        <v/>
      </c>
      <c r="L197" s="35" t="str">
        <f t="shared" si="2"/>
        <v/>
      </c>
      <c r="M197" s="35" t="str">
        <f t="shared" si="3"/>
        <v/>
      </c>
      <c r="N197" s="35" t="str">
        <f t="shared" si="4"/>
        <v/>
      </c>
      <c r="O197" s="35" t="str">
        <f t="shared" si="5"/>
        <v/>
      </c>
      <c r="P197" s="33" t="e">
        <f t="shared" si="6"/>
        <v>#REF!</v>
      </c>
      <c r="Q197" s="2"/>
      <c r="R197" s="2"/>
      <c r="S197" s="2"/>
      <c r="T197" s="2"/>
      <c r="U197" s="2"/>
    </row>
    <row r="198" spans="1:21" ht="12.75" customHeight="1" x14ac:dyDescent="0.2">
      <c r="A198" s="2"/>
      <c r="B198" s="31"/>
      <c r="C198" s="32" t="str">
        <f>IFERROR((IF(B198="","",IF($F$6="","Informar UF / Tabela / Prazo de Pagamento",IF($F$9="","Informar UF / Tabela / Prazo de Pagamento",IF($C$9="","Informar UF / Tabela / Prazo de Pagamento",VLOOKUP(B198,'Tabela 130 '!$A$5:$T$1001,2,FALSE)))))),"REF. NÃO CADASTRADA NA TABELA")</f>
        <v/>
      </c>
      <c r="D198" s="33" t="str">
        <f>IF('FOLHA DE PEDIDO '!B198="","",IF(C198="REF. NÃO CADASTRADA NA TABELA","",VLOOKUP(B198,'Tabela 130 '!$A$5:$AI$801,3,FALSE)))</f>
        <v/>
      </c>
      <c r="E198" s="34"/>
      <c r="F198" s="34"/>
      <c r="G198" s="35" t="str">
        <f>IFERROR(IF(C198="REF. NÃO CADASTRADA NA TABELA","",IF($C$9="","",IF($F$9="","",IF(B198="","",IF($C$9=119,VLOOKUP(B198,'Tabela 130 '!$A$5:$T$2711,MATCH($F$9,'Tabela 130 '!$A$5:$T$5,0),FALSE),IF($C$9=553,VLOOKUP(B198,#REF!,MATCH($F$9,#REF!,0),FALSE),IF($C$9=552,VLOOKUP(B198,#REF!,MATCH($F$9,#REF!,0),FALSE),IF($C$9=551,VLOOKUP(B198,#REF!,MATCH($F$9,#REF!,0),FALSE))))))))),"REF. NÃO CADASTRADA NA TABELA")</f>
        <v/>
      </c>
      <c r="H198" s="36"/>
      <c r="I198" s="37" t="str">
        <f t="shared" si="0"/>
        <v/>
      </c>
      <c r="J198" s="33" t="str">
        <f t="shared" si="1"/>
        <v/>
      </c>
      <c r="K198" s="38" t="str">
        <f>IF($F$6="","",IF(B198="","",IF(C198="REF. NÃO CADASTRADA NA TABELA","",IFERROR(VLOOKUP(B198,#REF!,VLOOKUP($F$6,'BASE CONTÁBIL'!N:O,2,FALSE),FALSE),0))))</f>
        <v/>
      </c>
      <c r="L198" s="35" t="str">
        <f t="shared" si="2"/>
        <v/>
      </c>
      <c r="M198" s="35" t="str">
        <f t="shared" si="3"/>
        <v/>
      </c>
      <c r="N198" s="35" t="str">
        <f t="shared" si="4"/>
        <v/>
      </c>
      <c r="O198" s="35" t="str">
        <f t="shared" si="5"/>
        <v/>
      </c>
      <c r="P198" s="33" t="e">
        <f t="shared" si="6"/>
        <v>#REF!</v>
      </c>
      <c r="Q198" s="2"/>
      <c r="R198" s="2"/>
      <c r="S198" s="2"/>
      <c r="T198" s="2"/>
      <c r="U198" s="2"/>
    </row>
    <row r="199" spans="1:21" ht="12.75" customHeight="1" x14ac:dyDescent="0.2">
      <c r="A199" s="2"/>
      <c r="B199" s="31"/>
      <c r="C199" s="32" t="str">
        <f>IFERROR((IF(B199="","",IF($F$6="","Informar UF / Tabela / Prazo de Pagamento",IF($F$9="","Informar UF / Tabela / Prazo de Pagamento",IF($C$9="","Informar UF / Tabela / Prazo de Pagamento",VLOOKUP(B199,'Tabela 130 '!$A$5:$T$1001,2,FALSE)))))),"REF. NÃO CADASTRADA NA TABELA")</f>
        <v/>
      </c>
      <c r="D199" s="33" t="str">
        <f>IF('FOLHA DE PEDIDO '!B199="","",IF(C199="REF. NÃO CADASTRADA NA TABELA","",VLOOKUP(B199,'Tabela 130 '!$A$5:$AI$801,3,FALSE)))</f>
        <v/>
      </c>
      <c r="E199" s="34"/>
      <c r="F199" s="34"/>
      <c r="G199" s="35" t="str">
        <f>IFERROR(IF(C199="REF. NÃO CADASTRADA NA TABELA","",IF($C$9="","",IF($F$9="","",IF(B199="","",IF($C$9=119,VLOOKUP(B199,'Tabela 130 '!$A$5:$T$2711,MATCH($F$9,'Tabela 130 '!$A$5:$T$5,0),FALSE),IF($C$9=553,VLOOKUP(B199,#REF!,MATCH($F$9,#REF!,0),FALSE),IF($C$9=552,VLOOKUP(B199,#REF!,MATCH($F$9,#REF!,0),FALSE),IF($C$9=551,VLOOKUP(B199,#REF!,MATCH($F$9,#REF!,0),FALSE))))))))),"REF. NÃO CADASTRADA NA TABELA")</f>
        <v/>
      </c>
      <c r="H199" s="36"/>
      <c r="I199" s="37" t="str">
        <f t="shared" si="0"/>
        <v/>
      </c>
      <c r="J199" s="33" t="str">
        <f t="shared" si="1"/>
        <v/>
      </c>
      <c r="K199" s="38" t="str">
        <f>IF($F$6="","",IF(B199="","",IF(C199="REF. NÃO CADASTRADA NA TABELA","",IFERROR(VLOOKUP(B199,#REF!,VLOOKUP($F$6,'BASE CONTÁBIL'!N:O,2,FALSE),FALSE),0))))</f>
        <v/>
      </c>
      <c r="L199" s="35" t="str">
        <f t="shared" si="2"/>
        <v/>
      </c>
      <c r="M199" s="35" t="str">
        <f t="shared" si="3"/>
        <v/>
      </c>
      <c r="N199" s="35" t="str">
        <f t="shared" si="4"/>
        <v/>
      </c>
      <c r="O199" s="35" t="str">
        <f t="shared" si="5"/>
        <v/>
      </c>
      <c r="P199" s="33" t="e">
        <f t="shared" si="6"/>
        <v>#REF!</v>
      </c>
      <c r="Q199" s="2"/>
      <c r="R199" s="2"/>
      <c r="S199" s="2"/>
      <c r="T199" s="2"/>
      <c r="U199" s="2"/>
    </row>
    <row r="200" spans="1:21" ht="12.75" customHeight="1" x14ac:dyDescent="0.2">
      <c r="A200" s="2"/>
      <c r="B200" s="31"/>
      <c r="C200" s="32" t="str">
        <f>IFERROR((IF(B200="","",IF($F$6="","Informar UF / Tabela / Prazo de Pagamento",IF($F$9="","Informar UF / Tabela / Prazo de Pagamento",IF($C$9="","Informar UF / Tabela / Prazo de Pagamento",VLOOKUP(B200,'Tabela 130 '!$A$5:$T$1001,2,FALSE)))))),"REF. NÃO CADASTRADA NA TABELA")</f>
        <v/>
      </c>
      <c r="D200" s="33" t="str">
        <f>IF('FOLHA DE PEDIDO '!B200="","",IF(C200="REF. NÃO CADASTRADA NA TABELA","",VLOOKUP(B200,'Tabela 130 '!$A$5:$AI$801,3,FALSE)))</f>
        <v/>
      </c>
      <c r="E200" s="34"/>
      <c r="F200" s="34"/>
      <c r="G200" s="35" t="str">
        <f>IFERROR(IF(C200="REF. NÃO CADASTRADA NA TABELA","",IF($C$9="","",IF($F$9="","",IF(B200="","",IF($C$9=119,VLOOKUP(B200,'Tabela 130 '!$A$5:$T$2711,MATCH($F$9,'Tabela 130 '!$A$5:$T$5,0),FALSE),IF($C$9=553,VLOOKUP(B200,#REF!,MATCH($F$9,#REF!,0),FALSE),IF($C$9=552,VLOOKUP(B200,#REF!,MATCH($F$9,#REF!,0),FALSE),IF($C$9=551,VLOOKUP(B200,#REF!,MATCH($F$9,#REF!,0),FALSE))))))))),"REF. NÃO CADASTRADA NA TABELA")</f>
        <v/>
      </c>
      <c r="H200" s="36"/>
      <c r="I200" s="37" t="str">
        <f t="shared" si="0"/>
        <v/>
      </c>
      <c r="J200" s="33" t="str">
        <f t="shared" si="1"/>
        <v/>
      </c>
      <c r="K200" s="38" t="str">
        <f>IF($F$6="","",IF(B200="","",IF(C200="REF. NÃO CADASTRADA NA TABELA","",IFERROR(VLOOKUP(B200,#REF!,VLOOKUP($F$6,'BASE CONTÁBIL'!N:O,2,FALSE),FALSE),0))))</f>
        <v/>
      </c>
      <c r="L200" s="35" t="str">
        <f t="shared" si="2"/>
        <v/>
      </c>
      <c r="M200" s="35" t="str">
        <f t="shared" si="3"/>
        <v/>
      </c>
      <c r="N200" s="35" t="str">
        <f t="shared" si="4"/>
        <v/>
      </c>
      <c r="O200" s="35" t="str">
        <f t="shared" si="5"/>
        <v/>
      </c>
      <c r="P200" s="33" t="e">
        <f t="shared" si="6"/>
        <v>#REF!</v>
      </c>
      <c r="Q200" s="2"/>
      <c r="R200" s="2"/>
      <c r="S200" s="2"/>
      <c r="T200" s="2"/>
      <c r="U200" s="2"/>
    </row>
    <row r="201" spans="1:21" ht="12.75" customHeight="1" x14ac:dyDescent="0.2">
      <c r="A201" s="2"/>
      <c r="B201" s="31"/>
      <c r="C201" s="32" t="str">
        <f>IFERROR((IF(B201="","",IF($F$6="","Informar UF / Tabela / Prazo de Pagamento",IF($F$9="","Informar UF / Tabela / Prazo de Pagamento",IF($C$9="","Informar UF / Tabela / Prazo de Pagamento",VLOOKUP(B201,'Tabela 130 '!$A$5:$T$1001,2,FALSE)))))),"REF. NÃO CADASTRADA NA TABELA")</f>
        <v/>
      </c>
      <c r="D201" s="33" t="str">
        <f>IF('FOLHA DE PEDIDO '!B201="","",IF(C201="REF. NÃO CADASTRADA NA TABELA","",VLOOKUP(B201,'Tabela 130 '!$A$5:$AI$801,3,FALSE)))</f>
        <v/>
      </c>
      <c r="E201" s="34"/>
      <c r="F201" s="34"/>
      <c r="G201" s="35" t="str">
        <f>IFERROR(IF(C201="REF. NÃO CADASTRADA NA TABELA","",IF($C$9="","",IF($F$9="","",IF(B201="","",IF($C$9=119,VLOOKUP(B201,'Tabela 130 '!$A$5:$T$2711,MATCH($F$9,'Tabela 130 '!$A$5:$T$5,0),FALSE),IF($C$9=553,VLOOKUP(B201,#REF!,MATCH($F$9,#REF!,0),FALSE),IF($C$9=552,VLOOKUP(B201,#REF!,MATCH($F$9,#REF!,0),FALSE),IF($C$9=551,VLOOKUP(B201,#REF!,MATCH($F$9,#REF!,0),FALSE))))))))),"REF. NÃO CADASTRADA NA TABELA")</f>
        <v/>
      </c>
      <c r="H201" s="36"/>
      <c r="I201" s="37" t="str">
        <f t="shared" si="0"/>
        <v/>
      </c>
      <c r="J201" s="33" t="str">
        <f t="shared" si="1"/>
        <v/>
      </c>
      <c r="K201" s="38" t="str">
        <f>IF($F$6="","",IF(B201="","",IF(C201="REF. NÃO CADASTRADA NA TABELA","",IFERROR(VLOOKUP(B201,#REF!,VLOOKUP($F$6,'BASE CONTÁBIL'!N:O,2,FALSE),FALSE),0))))</f>
        <v/>
      </c>
      <c r="L201" s="35" t="str">
        <f t="shared" si="2"/>
        <v/>
      </c>
      <c r="M201" s="35" t="str">
        <f t="shared" si="3"/>
        <v/>
      </c>
      <c r="N201" s="35" t="str">
        <f t="shared" si="4"/>
        <v/>
      </c>
      <c r="O201" s="35" t="str">
        <f t="shared" si="5"/>
        <v/>
      </c>
      <c r="P201" s="33" t="e">
        <f t="shared" si="6"/>
        <v>#REF!</v>
      </c>
      <c r="Q201" s="2"/>
      <c r="R201" s="2"/>
      <c r="S201" s="2"/>
      <c r="T201" s="2"/>
      <c r="U201" s="2"/>
    </row>
    <row r="202" spans="1:21" ht="12.75" customHeight="1" x14ac:dyDescent="0.2">
      <c r="A202" s="2"/>
      <c r="B202" s="31"/>
      <c r="C202" s="32" t="str">
        <f>IFERROR((IF(B202="","",IF($F$6="","Informar UF / Tabela / Prazo de Pagamento",IF($F$9="","Informar UF / Tabela / Prazo de Pagamento",IF($C$9="","Informar UF / Tabela / Prazo de Pagamento",VLOOKUP(B202,'Tabela 130 '!$A$5:$T$1001,2,FALSE)))))),"REF. NÃO CADASTRADA NA TABELA")</f>
        <v/>
      </c>
      <c r="D202" s="33" t="str">
        <f>IF('FOLHA DE PEDIDO '!B202="","",IF(C202="REF. NÃO CADASTRADA NA TABELA","",VLOOKUP(B202,'Tabela 130 '!$A$5:$AI$801,3,FALSE)))</f>
        <v/>
      </c>
      <c r="E202" s="34"/>
      <c r="F202" s="34"/>
      <c r="G202" s="35" t="str">
        <f>IFERROR(IF(C202="REF. NÃO CADASTRADA NA TABELA","",IF($C$9="","",IF($F$9="","",IF(B202="","",IF($C$9=119,VLOOKUP(B202,'Tabela 130 '!$A$5:$T$2711,MATCH($F$9,'Tabela 130 '!$A$5:$T$5,0),FALSE),IF($C$9=553,VLOOKUP(B202,#REF!,MATCH($F$9,#REF!,0),FALSE),IF($C$9=552,VLOOKUP(B202,#REF!,MATCH($F$9,#REF!,0),FALSE),IF($C$9=551,VLOOKUP(B202,#REF!,MATCH($F$9,#REF!,0),FALSE))))))))),"REF. NÃO CADASTRADA NA TABELA")</f>
        <v/>
      </c>
      <c r="H202" s="36"/>
      <c r="I202" s="37" t="str">
        <f t="shared" si="0"/>
        <v/>
      </c>
      <c r="J202" s="33" t="str">
        <f t="shared" si="1"/>
        <v/>
      </c>
      <c r="K202" s="38" t="str">
        <f>IF($F$6="","",IF(B202="","",IF(C202="REF. NÃO CADASTRADA NA TABELA","",IFERROR(VLOOKUP(B202,#REF!,VLOOKUP($F$6,'BASE CONTÁBIL'!N:O,2,FALSE),FALSE),0))))</f>
        <v/>
      </c>
      <c r="L202" s="35" t="str">
        <f t="shared" si="2"/>
        <v/>
      </c>
      <c r="M202" s="35" t="str">
        <f t="shared" si="3"/>
        <v/>
      </c>
      <c r="N202" s="35" t="str">
        <f t="shared" si="4"/>
        <v/>
      </c>
      <c r="O202" s="35" t="str">
        <f t="shared" si="5"/>
        <v/>
      </c>
      <c r="P202" s="33" t="e">
        <f t="shared" si="6"/>
        <v>#REF!</v>
      </c>
      <c r="Q202" s="2"/>
      <c r="R202" s="2"/>
      <c r="S202" s="2"/>
      <c r="T202" s="2"/>
      <c r="U202" s="2"/>
    </row>
    <row r="203" spans="1:21" ht="12.75" customHeight="1" x14ac:dyDescent="0.2">
      <c r="A203" s="2"/>
      <c r="B203" s="31"/>
      <c r="C203" s="32" t="str">
        <f>IFERROR((IF(B203="","",IF($F$6="","Informar UF / Tabela / Prazo de Pagamento",IF($F$9="","Informar UF / Tabela / Prazo de Pagamento",IF($C$9="","Informar UF / Tabela / Prazo de Pagamento",VLOOKUP(B203,'Tabela 130 '!$A$5:$T$1001,2,FALSE)))))),"REF. NÃO CADASTRADA NA TABELA")</f>
        <v/>
      </c>
      <c r="D203" s="33" t="str">
        <f>IF('FOLHA DE PEDIDO '!B203="","",IF(C203="REF. NÃO CADASTRADA NA TABELA","",VLOOKUP(B203,'Tabela 130 '!$A$5:$AI$801,3,FALSE)))</f>
        <v/>
      </c>
      <c r="E203" s="34"/>
      <c r="F203" s="34"/>
      <c r="G203" s="35" t="str">
        <f>IFERROR(IF(C203="REF. NÃO CADASTRADA NA TABELA","",IF($C$9="","",IF($F$9="","",IF(B203="","",IF($C$9=119,VLOOKUP(B203,'Tabela 130 '!$A$5:$T$2711,MATCH($F$9,'Tabela 130 '!$A$5:$T$5,0),FALSE),IF($C$9=553,VLOOKUP(B203,#REF!,MATCH($F$9,#REF!,0),FALSE),IF($C$9=552,VLOOKUP(B203,#REF!,MATCH($F$9,#REF!,0),FALSE),IF($C$9=551,VLOOKUP(B203,#REF!,MATCH($F$9,#REF!,0),FALSE))))))))),"REF. NÃO CADASTRADA NA TABELA")</f>
        <v/>
      </c>
      <c r="H203" s="36"/>
      <c r="I203" s="37" t="str">
        <f t="shared" si="0"/>
        <v/>
      </c>
      <c r="J203" s="33" t="str">
        <f t="shared" si="1"/>
        <v/>
      </c>
      <c r="K203" s="38" t="str">
        <f>IF($F$6="","",IF(B203="","",IF(C203="REF. NÃO CADASTRADA NA TABELA","",IFERROR(VLOOKUP(B203,#REF!,VLOOKUP($F$6,'BASE CONTÁBIL'!N:O,2,FALSE),FALSE),0))))</f>
        <v/>
      </c>
      <c r="L203" s="35" t="str">
        <f t="shared" si="2"/>
        <v/>
      </c>
      <c r="M203" s="35" t="str">
        <f t="shared" si="3"/>
        <v/>
      </c>
      <c r="N203" s="35" t="str">
        <f t="shared" si="4"/>
        <v/>
      </c>
      <c r="O203" s="35" t="str">
        <f t="shared" si="5"/>
        <v/>
      </c>
      <c r="P203" s="33" t="e">
        <f t="shared" si="6"/>
        <v>#REF!</v>
      </c>
      <c r="Q203" s="2"/>
      <c r="R203" s="2"/>
      <c r="S203" s="2"/>
      <c r="T203" s="2"/>
      <c r="U203" s="2"/>
    </row>
    <row r="204" spans="1:21" ht="12.75" customHeight="1" x14ac:dyDescent="0.2">
      <c r="A204" s="2"/>
      <c r="B204" s="31"/>
      <c r="C204" s="32" t="str">
        <f>IFERROR((IF(B204="","",IF($F$6="","Informar UF / Tabela / Prazo de Pagamento",IF($F$9="","Informar UF / Tabela / Prazo de Pagamento",IF($C$9="","Informar UF / Tabela / Prazo de Pagamento",VLOOKUP(B204,'Tabela 130 '!$A$5:$T$1001,2,FALSE)))))),"REF. NÃO CADASTRADA NA TABELA")</f>
        <v/>
      </c>
      <c r="D204" s="33" t="str">
        <f>IF('FOLHA DE PEDIDO '!B204="","",IF(C204="REF. NÃO CADASTRADA NA TABELA","",VLOOKUP(B204,'Tabela 130 '!$A$5:$AI$801,3,FALSE)))</f>
        <v/>
      </c>
      <c r="E204" s="34"/>
      <c r="F204" s="34"/>
      <c r="G204" s="35" t="str">
        <f>IFERROR(IF(C204="REF. NÃO CADASTRADA NA TABELA","",IF($C$9="","",IF($F$9="","",IF(B204="","",IF($C$9=119,VLOOKUP(B204,'Tabela 130 '!$A$5:$T$2711,MATCH($F$9,'Tabela 130 '!$A$5:$T$5,0),FALSE),IF($C$9=553,VLOOKUP(B204,#REF!,MATCH($F$9,#REF!,0),FALSE),IF($C$9=552,VLOOKUP(B204,#REF!,MATCH($F$9,#REF!,0),FALSE),IF($C$9=551,VLOOKUP(B204,#REF!,MATCH($F$9,#REF!,0),FALSE))))))))),"REF. NÃO CADASTRADA NA TABELA")</f>
        <v/>
      </c>
      <c r="H204" s="36"/>
      <c r="I204" s="37" t="str">
        <f t="shared" si="0"/>
        <v/>
      </c>
      <c r="J204" s="33" t="str">
        <f t="shared" si="1"/>
        <v/>
      </c>
      <c r="K204" s="38" t="str">
        <f>IF($F$6="","",IF(B204="","",IF(C204="REF. NÃO CADASTRADA NA TABELA","",IFERROR(VLOOKUP(B204,#REF!,VLOOKUP($F$6,'BASE CONTÁBIL'!N:O,2,FALSE),FALSE),0))))</f>
        <v/>
      </c>
      <c r="L204" s="35" t="str">
        <f t="shared" si="2"/>
        <v/>
      </c>
      <c r="M204" s="35" t="str">
        <f t="shared" si="3"/>
        <v/>
      </c>
      <c r="N204" s="35" t="str">
        <f t="shared" si="4"/>
        <v/>
      </c>
      <c r="O204" s="35" t="str">
        <f t="shared" si="5"/>
        <v/>
      </c>
      <c r="P204" s="33" t="e">
        <f t="shared" si="6"/>
        <v>#REF!</v>
      </c>
      <c r="Q204" s="2"/>
      <c r="R204" s="2"/>
      <c r="S204" s="2"/>
      <c r="T204" s="2"/>
      <c r="U204" s="2"/>
    </row>
    <row r="205" spans="1:21" ht="12.75" customHeight="1" x14ac:dyDescent="0.2">
      <c r="A205" s="2"/>
      <c r="B205" s="31"/>
      <c r="C205" s="32" t="str">
        <f>IFERROR((IF(B205="","",IF($F$6="","Informar UF / Tabela / Prazo de Pagamento",IF($F$9="","Informar UF / Tabela / Prazo de Pagamento",IF($C$9="","Informar UF / Tabela / Prazo de Pagamento",VLOOKUP(B205,'Tabela 130 '!$A$5:$T$1001,2,FALSE)))))),"REF. NÃO CADASTRADA NA TABELA")</f>
        <v/>
      </c>
      <c r="D205" s="33" t="str">
        <f>IF('FOLHA DE PEDIDO '!B205="","",IF(C205="REF. NÃO CADASTRADA NA TABELA","",VLOOKUP(B205,'Tabela 130 '!$A$5:$AI$801,3,FALSE)))</f>
        <v/>
      </c>
      <c r="E205" s="34"/>
      <c r="F205" s="34"/>
      <c r="G205" s="35" t="str">
        <f>IFERROR(IF(C205="REF. NÃO CADASTRADA NA TABELA","",IF($C$9="","",IF($F$9="","",IF(B205="","",IF($C$9=119,VLOOKUP(B205,'Tabela 130 '!$A$5:$T$2711,MATCH($F$9,'Tabela 130 '!$A$5:$T$5,0),FALSE),IF($C$9=553,VLOOKUP(B205,#REF!,MATCH($F$9,#REF!,0),FALSE),IF($C$9=552,VLOOKUP(B205,#REF!,MATCH($F$9,#REF!,0),FALSE),IF($C$9=551,VLOOKUP(B205,#REF!,MATCH($F$9,#REF!,0),FALSE))))))))),"REF. NÃO CADASTRADA NA TABELA")</f>
        <v/>
      </c>
      <c r="H205" s="36"/>
      <c r="I205" s="37" t="str">
        <f t="shared" si="0"/>
        <v/>
      </c>
      <c r="J205" s="33" t="str">
        <f t="shared" si="1"/>
        <v/>
      </c>
      <c r="K205" s="38" t="str">
        <f>IF($F$6="","",IF(B205="","",IF(C205="REF. NÃO CADASTRADA NA TABELA","",IFERROR(VLOOKUP(B205,#REF!,VLOOKUP($F$6,'BASE CONTÁBIL'!N:O,2,FALSE),FALSE),0))))</f>
        <v/>
      </c>
      <c r="L205" s="35" t="str">
        <f t="shared" si="2"/>
        <v/>
      </c>
      <c r="M205" s="35" t="str">
        <f t="shared" si="3"/>
        <v/>
      </c>
      <c r="N205" s="35" t="str">
        <f t="shared" si="4"/>
        <v/>
      </c>
      <c r="O205" s="35" t="str">
        <f t="shared" si="5"/>
        <v/>
      </c>
      <c r="P205" s="33" t="e">
        <f t="shared" si="6"/>
        <v>#REF!</v>
      </c>
      <c r="Q205" s="2"/>
      <c r="R205" s="2"/>
      <c r="S205" s="2"/>
      <c r="T205" s="2"/>
      <c r="U205" s="2"/>
    </row>
    <row r="206" spans="1:21" ht="12.75" customHeight="1" x14ac:dyDescent="0.2">
      <c r="A206" s="2"/>
      <c r="B206" s="31"/>
      <c r="C206" s="32" t="str">
        <f>IFERROR((IF(B206="","",IF($F$6="","Informar UF / Tabela / Prazo de Pagamento",IF($F$9="","Informar UF / Tabela / Prazo de Pagamento",IF($C$9="","Informar UF / Tabela / Prazo de Pagamento",VLOOKUP(B206,'Tabela 130 '!$A$5:$T$1001,2,FALSE)))))),"REF. NÃO CADASTRADA NA TABELA")</f>
        <v/>
      </c>
      <c r="D206" s="33" t="str">
        <f>IF('FOLHA DE PEDIDO '!B206="","",IF(C206="REF. NÃO CADASTRADA NA TABELA","",VLOOKUP(B206,'Tabela 130 '!$A$5:$AI$801,3,FALSE)))</f>
        <v/>
      </c>
      <c r="E206" s="34"/>
      <c r="F206" s="34"/>
      <c r="G206" s="35" t="str">
        <f>IFERROR(IF(C206="REF. NÃO CADASTRADA NA TABELA","",IF($C$9="","",IF($F$9="","",IF(B206="","",IF($C$9=119,VLOOKUP(B206,'Tabela 130 '!$A$5:$T$2711,MATCH($F$9,'Tabela 130 '!$A$5:$T$5,0),FALSE),IF($C$9=553,VLOOKUP(B206,#REF!,MATCH($F$9,#REF!,0),FALSE),IF($C$9=552,VLOOKUP(B206,#REF!,MATCH($F$9,#REF!,0),FALSE),IF($C$9=551,VLOOKUP(B206,#REF!,MATCH($F$9,#REF!,0),FALSE))))))))),"REF. NÃO CADASTRADA NA TABELA")</f>
        <v/>
      </c>
      <c r="H206" s="36"/>
      <c r="I206" s="37" t="str">
        <f t="shared" si="0"/>
        <v/>
      </c>
      <c r="J206" s="33" t="str">
        <f t="shared" si="1"/>
        <v/>
      </c>
      <c r="K206" s="38" t="str">
        <f>IF($F$6="","",IF(B206="","",IF(C206="REF. NÃO CADASTRADA NA TABELA","",IFERROR(VLOOKUP(B206,#REF!,VLOOKUP($F$6,'BASE CONTÁBIL'!N:O,2,FALSE),FALSE),0))))</f>
        <v/>
      </c>
      <c r="L206" s="35" t="str">
        <f t="shared" si="2"/>
        <v/>
      </c>
      <c r="M206" s="35" t="str">
        <f t="shared" si="3"/>
        <v/>
      </c>
      <c r="N206" s="35" t="str">
        <f t="shared" si="4"/>
        <v/>
      </c>
      <c r="O206" s="35" t="str">
        <f t="shared" si="5"/>
        <v/>
      </c>
      <c r="P206" s="33" t="e">
        <f t="shared" si="6"/>
        <v>#REF!</v>
      </c>
      <c r="Q206" s="2"/>
      <c r="R206" s="2"/>
      <c r="S206" s="2"/>
      <c r="T206" s="2"/>
      <c r="U206" s="2"/>
    </row>
    <row r="207" spans="1:21" ht="12.75" customHeight="1" x14ac:dyDescent="0.2">
      <c r="A207" s="2"/>
      <c r="B207" s="31"/>
      <c r="C207" s="32" t="str">
        <f>IFERROR((IF(B207="","",IF($F$6="","Informar UF / Tabela / Prazo de Pagamento",IF($F$9="","Informar UF / Tabela / Prazo de Pagamento",IF($C$9="","Informar UF / Tabela / Prazo de Pagamento",VLOOKUP(B207,'Tabela 130 '!$A$5:$T$1001,2,FALSE)))))),"REF. NÃO CADASTRADA NA TABELA")</f>
        <v/>
      </c>
      <c r="D207" s="33" t="str">
        <f>IF('FOLHA DE PEDIDO '!B207="","",IF(C207="REF. NÃO CADASTRADA NA TABELA","",VLOOKUP(B207,'Tabela 130 '!$A$5:$AI$801,3,FALSE)))</f>
        <v/>
      </c>
      <c r="E207" s="34"/>
      <c r="F207" s="34"/>
      <c r="G207" s="35" t="str">
        <f>IFERROR(IF(C207="REF. NÃO CADASTRADA NA TABELA","",IF($C$9="","",IF($F$9="","",IF(B207="","",IF($C$9=119,VLOOKUP(B207,'Tabela 130 '!$A$5:$T$2711,MATCH($F$9,'Tabela 130 '!$A$5:$T$5,0),FALSE),IF($C$9=553,VLOOKUP(B207,#REF!,MATCH($F$9,#REF!,0),FALSE),IF($C$9=552,VLOOKUP(B207,#REF!,MATCH($F$9,#REF!,0),FALSE),IF($C$9=551,VLOOKUP(B207,#REF!,MATCH($F$9,#REF!,0),FALSE))))))))),"REF. NÃO CADASTRADA NA TABELA")</f>
        <v/>
      </c>
      <c r="H207" s="36"/>
      <c r="I207" s="37" t="str">
        <f t="shared" si="0"/>
        <v/>
      </c>
      <c r="J207" s="33" t="str">
        <f t="shared" si="1"/>
        <v/>
      </c>
      <c r="K207" s="38" t="str">
        <f>IF($F$6="","",IF(B207="","",IF(C207="REF. NÃO CADASTRADA NA TABELA","",IFERROR(VLOOKUP(B207,#REF!,VLOOKUP($F$6,'BASE CONTÁBIL'!N:O,2,FALSE),FALSE),0))))</f>
        <v/>
      </c>
      <c r="L207" s="35" t="str">
        <f t="shared" si="2"/>
        <v/>
      </c>
      <c r="M207" s="35" t="str">
        <f t="shared" si="3"/>
        <v/>
      </c>
      <c r="N207" s="35" t="str">
        <f t="shared" si="4"/>
        <v/>
      </c>
      <c r="O207" s="35" t="str">
        <f t="shared" si="5"/>
        <v/>
      </c>
      <c r="P207" s="33" t="e">
        <f t="shared" si="6"/>
        <v>#REF!</v>
      </c>
      <c r="Q207" s="2"/>
      <c r="R207" s="2"/>
      <c r="S207" s="2"/>
      <c r="T207" s="2"/>
      <c r="U207" s="2"/>
    </row>
    <row r="208" spans="1:21" ht="12.75" customHeight="1" x14ac:dyDescent="0.2">
      <c r="A208" s="2"/>
      <c r="B208" s="31"/>
      <c r="C208" s="32" t="str">
        <f>IFERROR((IF(B208="","",IF($F$6="","Informar UF / Tabela / Prazo de Pagamento",IF($F$9="","Informar UF / Tabela / Prazo de Pagamento",IF($C$9="","Informar UF / Tabela / Prazo de Pagamento",VLOOKUP(B208,'Tabela 130 '!$A$5:$T$1001,2,FALSE)))))),"REF. NÃO CADASTRADA NA TABELA")</f>
        <v/>
      </c>
      <c r="D208" s="33" t="str">
        <f>IF('FOLHA DE PEDIDO '!B208="","",IF(C208="REF. NÃO CADASTRADA NA TABELA","",VLOOKUP(B208,'Tabela 130 '!$A$5:$AI$801,3,FALSE)))</f>
        <v/>
      </c>
      <c r="E208" s="34"/>
      <c r="F208" s="34"/>
      <c r="G208" s="35" t="str">
        <f>IFERROR(IF(C208="REF. NÃO CADASTRADA NA TABELA","",IF($C$9="","",IF($F$9="","",IF(B208="","",IF($C$9=119,VLOOKUP(B208,'Tabela 130 '!$A$5:$T$2711,MATCH($F$9,'Tabela 130 '!$A$5:$T$5,0),FALSE),IF($C$9=553,VLOOKUP(B208,#REF!,MATCH($F$9,#REF!,0),FALSE),IF($C$9=552,VLOOKUP(B208,#REF!,MATCH($F$9,#REF!,0),FALSE),IF($C$9=551,VLOOKUP(B208,#REF!,MATCH($F$9,#REF!,0),FALSE))))))))),"REF. NÃO CADASTRADA NA TABELA")</f>
        <v/>
      </c>
      <c r="H208" s="36"/>
      <c r="I208" s="37" t="str">
        <f t="shared" si="0"/>
        <v/>
      </c>
      <c r="J208" s="33" t="str">
        <f t="shared" si="1"/>
        <v/>
      </c>
      <c r="K208" s="38" t="str">
        <f>IF($F$6="","",IF(B208="","",IF(C208="REF. NÃO CADASTRADA NA TABELA","",IFERROR(VLOOKUP(B208,#REF!,VLOOKUP($F$6,'BASE CONTÁBIL'!N:O,2,FALSE),FALSE),0))))</f>
        <v/>
      </c>
      <c r="L208" s="35" t="str">
        <f t="shared" si="2"/>
        <v/>
      </c>
      <c r="M208" s="35" t="str">
        <f t="shared" si="3"/>
        <v/>
      </c>
      <c r="N208" s="35" t="str">
        <f t="shared" si="4"/>
        <v/>
      </c>
      <c r="O208" s="35" t="str">
        <f t="shared" si="5"/>
        <v/>
      </c>
      <c r="P208" s="33" t="e">
        <f t="shared" si="6"/>
        <v>#REF!</v>
      </c>
      <c r="Q208" s="2"/>
      <c r="R208" s="2"/>
      <c r="S208" s="2"/>
      <c r="T208" s="2"/>
      <c r="U208" s="2"/>
    </row>
    <row r="209" spans="1:21" ht="12.75" customHeight="1" x14ac:dyDescent="0.2">
      <c r="A209" s="2"/>
      <c r="B209" s="31"/>
      <c r="C209" s="32" t="str">
        <f>IFERROR((IF(B209="","",IF($F$6="","Informar UF / Tabela / Prazo de Pagamento",IF($F$9="","Informar UF / Tabela / Prazo de Pagamento",IF($C$9="","Informar UF / Tabela / Prazo de Pagamento",VLOOKUP(B209,'Tabela 130 '!$A$5:$T$1001,2,FALSE)))))),"REF. NÃO CADASTRADA NA TABELA")</f>
        <v/>
      </c>
      <c r="D209" s="33" t="str">
        <f>IF('FOLHA DE PEDIDO '!B209="","",IF(C209="REF. NÃO CADASTRADA NA TABELA","",VLOOKUP(B209,'Tabela 130 '!$A$5:$AI$801,3,FALSE)))</f>
        <v/>
      </c>
      <c r="E209" s="34"/>
      <c r="F209" s="34"/>
      <c r="G209" s="35" t="str">
        <f>IFERROR(IF(C209="REF. NÃO CADASTRADA NA TABELA","",IF($C$9="","",IF($F$9="","",IF(B209="","",IF($C$9=119,VLOOKUP(B209,'Tabela 130 '!$A$5:$T$2711,MATCH($F$9,'Tabela 130 '!$A$5:$T$5,0),FALSE),IF($C$9=553,VLOOKUP(B209,#REF!,MATCH($F$9,#REF!,0),FALSE),IF($C$9=552,VLOOKUP(B209,#REF!,MATCH($F$9,#REF!,0),FALSE),IF($C$9=551,VLOOKUP(B209,#REF!,MATCH($F$9,#REF!,0),FALSE))))))))),"REF. NÃO CADASTRADA NA TABELA")</f>
        <v/>
      </c>
      <c r="H209" s="36"/>
      <c r="I209" s="37" t="str">
        <f t="shared" si="0"/>
        <v/>
      </c>
      <c r="J209" s="33" t="str">
        <f t="shared" si="1"/>
        <v/>
      </c>
      <c r="K209" s="38" t="str">
        <f>IF($F$6="","",IF(B209="","",IF(C209="REF. NÃO CADASTRADA NA TABELA","",IFERROR(VLOOKUP(B209,#REF!,VLOOKUP($F$6,'BASE CONTÁBIL'!N:O,2,FALSE),FALSE),0))))</f>
        <v/>
      </c>
      <c r="L209" s="35" t="str">
        <f t="shared" si="2"/>
        <v/>
      </c>
      <c r="M209" s="35" t="str">
        <f t="shared" si="3"/>
        <v/>
      </c>
      <c r="N209" s="35" t="str">
        <f t="shared" si="4"/>
        <v/>
      </c>
      <c r="O209" s="35" t="str">
        <f t="shared" si="5"/>
        <v/>
      </c>
      <c r="P209" s="33" t="e">
        <f t="shared" si="6"/>
        <v>#REF!</v>
      </c>
      <c r="Q209" s="2"/>
      <c r="R209" s="2"/>
      <c r="S209" s="2"/>
      <c r="T209" s="2"/>
      <c r="U209" s="2"/>
    </row>
    <row r="210" spans="1:21" ht="12.75" customHeight="1" x14ac:dyDescent="0.2">
      <c r="A210" s="2"/>
      <c r="B210" s="31"/>
      <c r="C210" s="32" t="str">
        <f>IFERROR((IF(B210="","",IF($F$6="","Informar UF / Tabela / Prazo de Pagamento",IF($F$9="","Informar UF / Tabela / Prazo de Pagamento",IF($C$9="","Informar UF / Tabela / Prazo de Pagamento",VLOOKUP(B210,'Tabela 130 '!$A$5:$T$1001,2,FALSE)))))),"REF. NÃO CADASTRADA NA TABELA")</f>
        <v/>
      </c>
      <c r="D210" s="33" t="str">
        <f>IF('FOLHA DE PEDIDO '!B210="","",IF(C210="REF. NÃO CADASTRADA NA TABELA","",VLOOKUP(B210,'Tabela 130 '!$A$5:$AI$801,3,FALSE)))</f>
        <v/>
      </c>
      <c r="E210" s="34"/>
      <c r="F210" s="34"/>
      <c r="G210" s="35" t="str">
        <f>IFERROR(IF(C210="REF. NÃO CADASTRADA NA TABELA","",IF($C$9="","",IF($F$9="","",IF(B210="","",IF($C$9=119,VLOOKUP(B210,'Tabela 130 '!$A$5:$T$2711,MATCH($F$9,'Tabela 130 '!$A$5:$T$5,0),FALSE),IF($C$9=553,VLOOKUP(B210,#REF!,MATCH($F$9,#REF!,0),FALSE),IF($C$9=552,VLOOKUP(B210,#REF!,MATCH($F$9,#REF!,0),FALSE),IF($C$9=551,VLOOKUP(B210,#REF!,MATCH($F$9,#REF!,0),FALSE))))))))),"REF. NÃO CADASTRADA NA TABELA")</f>
        <v/>
      </c>
      <c r="H210" s="36"/>
      <c r="I210" s="37" t="str">
        <f t="shared" si="0"/>
        <v/>
      </c>
      <c r="J210" s="33" t="str">
        <f t="shared" si="1"/>
        <v/>
      </c>
      <c r="K210" s="38" t="str">
        <f>IF($F$6="","",IF(B210="","",IF(C210="REF. NÃO CADASTRADA NA TABELA","",IFERROR(VLOOKUP(B210,#REF!,VLOOKUP($F$6,'BASE CONTÁBIL'!N:O,2,FALSE),FALSE),0))))</f>
        <v/>
      </c>
      <c r="L210" s="35" t="str">
        <f t="shared" si="2"/>
        <v/>
      </c>
      <c r="M210" s="35" t="str">
        <f t="shared" si="3"/>
        <v/>
      </c>
      <c r="N210" s="35" t="str">
        <f t="shared" si="4"/>
        <v/>
      </c>
      <c r="O210" s="35" t="str">
        <f t="shared" si="5"/>
        <v/>
      </c>
      <c r="P210" s="33" t="e">
        <f t="shared" si="6"/>
        <v>#REF!</v>
      </c>
      <c r="Q210" s="2"/>
      <c r="R210" s="2"/>
      <c r="S210" s="2"/>
      <c r="T210" s="2"/>
      <c r="U210" s="2"/>
    </row>
    <row r="211" spans="1:21" ht="12.75" customHeight="1" x14ac:dyDescent="0.2">
      <c r="A211" s="2"/>
      <c r="B211" s="31"/>
      <c r="C211" s="32" t="str">
        <f>IFERROR((IF(B211="","",IF($F$6="","Informar UF / Tabela / Prazo de Pagamento",IF($F$9="","Informar UF / Tabela / Prazo de Pagamento",IF($C$9="","Informar UF / Tabela / Prazo de Pagamento",VLOOKUP(B211,'Tabela 130 '!$A$5:$T$1001,2,FALSE)))))),"REF. NÃO CADASTRADA NA TABELA")</f>
        <v/>
      </c>
      <c r="D211" s="33" t="str">
        <f>IF('FOLHA DE PEDIDO '!B211="","",IF(C211="REF. NÃO CADASTRADA NA TABELA","",VLOOKUP(B211,'Tabela 130 '!$A$5:$AI$801,3,FALSE)))</f>
        <v/>
      </c>
      <c r="E211" s="34"/>
      <c r="F211" s="34"/>
      <c r="G211" s="35" t="str">
        <f>IFERROR(IF(C211="REF. NÃO CADASTRADA NA TABELA","",IF($C$9="","",IF($F$9="","",IF(B211="","",IF($C$9=119,VLOOKUP(B211,'Tabela 130 '!$A$5:$T$2711,MATCH($F$9,'Tabela 130 '!$A$5:$T$5,0),FALSE),IF($C$9=553,VLOOKUP(B211,#REF!,MATCH($F$9,#REF!,0),FALSE),IF($C$9=552,VLOOKUP(B211,#REF!,MATCH($F$9,#REF!,0),FALSE),IF($C$9=551,VLOOKUP(B211,#REF!,MATCH($F$9,#REF!,0),FALSE))))))))),"REF. NÃO CADASTRADA NA TABELA")</f>
        <v/>
      </c>
      <c r="H211" s="36"/>
      <c r="I211" s="37" t="str">
        <f t="shared" si="0"/>
        <v/>
      </c>
      <c r="J211" s="33" t="str">
        <f t="shared" si="1"/>
        <v/>
      </c>
      <c r="K211" s="38" t="str">
        <f>IF($F$6="","",IF(B211="","",IF(C211="REF. NÃO CADASTRADA NA TABELA","",IFERROR(VLOOKUP(B211,#REF!,VLOOKUP($F$6,'BASE CONTÁBIL'!N:O,2,FALSE),FALSE),0))))</f>
        <v/>
      </c>
      <c r="L211" s="35" t="str">
        <f t="shared" si="2"/>
        <v/>
      </c>
      <c r="M211" s="35" t="str">
        <f t="shared" si="3"/>
        <v/>
      </c>
      <c r="N211" s="35" t="str">
        <f t="shared" si="4"/>
        <v/>
      </c>
      <c r="O211" s="35" t="str">
        <f t="shared" si="5"/>
        <v/>
      </c>
      <c r="P211" s="33" t="e">
        <f t="shared" si="6"/>
        <v>#REF!</v>
      </c>
      <c r="Q211" s="2"/>
      <c r="R211" s="2"/>
      <c r="S211" s="2"/>
      <c r="T211" s="2"/>
      <c r="U211" s="2"/>
    </row>
    <row r="212" spans="1:21" ht="12.75" customHeight="1" x14ac:dyDescent="0.2">
      <c r="A212" s="2"/>
      <c r="B212" s="31"/>
      <c r="C212" s="32" t="str">
        <f>IFERROR((IF(B212="","",IF($F$6="","Informar UF / Tabela / Prazo de Pagamento",IF($F$9="","Informar UF / Tabela / Prazo de Pagamento",IF($C$9="","Informar UF / Tabela / Prazo de Pagamento",VLOOKUP(B212,'Tabela 130 '!$A$5:$T$1001,2,FALSE)))))),"REF. NÃO CADASTRADA NA TABELA")</f>
        <v/>
      </c>
      <c r="D212" s="33" t="str">
        <f>IF('FOLHA DE PEDIDO '!B212="","",IF(C212="REF. NÃO CADASTRADA NA TABELA","",VLOOKUP(B212,'Tabela 130 '!$A$5:$AI$801,3,FALSE)))</f>
        <v/>
      </c>
      <c r="E212" s="34"/>
      <c r="F212" s="34"/>
      <c r="G212" s="35" t="str">
        <f>IFERROR(IF(C212="REF. NÃO CADASTRADA NA TABELA","",IF($C$9="","",IF($F$9="","",IF(B212="","",IF($C$9=119,VLOOKUP(B212,'Tabela 130 '!$A$5:$T$2711,MATCH($F$9,'Tabela 130 '!$A$5:$T$5,0),FALSE),IF($C$9=553,VLOOKUP(B212,#REF!,MATCH($F$9,#REF!,0),FALSE),IF($C$9=552,VLOOKUP(B212,#REF!,MATCH($F$9,#REF!,0),FALSE),IF($C$9=551,VLOOKUP(B212,#REF!,MATCH($F$9,#REF!,0),FALSE))))))))),"REF. NÃO CADASTRADA NA TABELA")</f>
        <v/>
      </c>
      <c r="H212" s="36"/>
      <c r="I212" s="37" t="str">
        <f t="shared" si="0"/>
        <v/>
      </c>
      <c r="J212" s="33" t="str">
        <f t="shared" si="1"/>
        <v/>
      </c>
      <c r="K212" s="38" t="str">
        <f>IF($F$6="","",IF(B212="","",IF(C212="REF. NÃO CADASTRADA NA TABELA","",IFERROR(VLOOKUP(B212,#REF!,VLOOKUP($F$6,'BASE CONTÁBIL'!N:O,2,FALSE),FALSE),0))))</f>
        <v/>
      </c>
      <c r="L212" s="35" t="str">
        <f t="shared" si="2"/>
        <v/>
      </c>
      <c r="M212" s="35" t="str">
        <f t="shared" si="3"/>
        <v/>
      </c>
      <c r="N212" s="35" t="str">
        <f t="shared" si="4"/>
        <v/>
      </c>
      <c r="O212" s="35" t="str">
        <f t="shared" si="5"/>
        <v/>
      </c>
      <c r="P212" s="33" t="e">
        <f t="shared" si="6"/>
        <v>#REF!</v>
      </c>
      <c r="Q212" s="2"/>
      <c r="R212" s="2"/>
      <c r="S212" s="2"/>
      <c r="T212" s="2"/>
      <c r="U212" s="2"/>
    </row>
    <row r="213" spans="1:21" ht="12.75" customHeight="1" x14ac:dyDescent="0.2">
      <c r="A213" s="2"/>
      <c r="B213" s="31"/>
      <c r="C213" s="32" t="str">
        <f>IFERROR((IF(B213="","",IF($F$6="","Informar UF / Tabela / Prazo de Pagamento",IF($F$9="","Informar UF / Tabela / Prazo de Pagamento",IF($C$9="","Informar UF / Tabela / Prazo de Pagamento",VLOOKUP(B213,'Tabela 130 '!$A$5:$T$1001,2,FALSE)))))),"REF. NÃO CADASTRADA NA TABELA")</f>
        <v/>
      </c>
      <c r="D213" s="33" t="str">
        <f>IF('FOLHA DE PEDIDO '!B213="","",IF(C213="REF. NÃO CADASTRADA NA TABELA","",VLOOKUP(B213,'Tabela 130 '!$A$5:$AI$801,3,FALSE)))</f>
        <v/>
      </c>
      <c r="E213" s="34"/>
      <c r="F213" s="34"/>
      <c r="G213" s="35" t="str">
        <f>IFERROR(IF(C213="REF. NÃO CADASTRADA NA TABELA","",IF($C$9="","",IF($F$9="","",IF(B213="","",IF($C$9=119,VLOOKUP(B213,'Tabela 130 '!$A$5:$T$2711,MATCH($F$9,'Tabela 130 '!$A$5:$T$5,0),FALSE),IF($C$9=553,VLOOKUP(B213,#REF!,MATCH($F$9,#REF!,0),FALSE),IF($C$9=552,VLOOKUP(B213,#REF!,MATCH($F$9,#REF!,0),FALSE),IF($C$9=551,VLOOKUP(B213,#REF!,MATCH($F$9,#REF!,0),FALSE))))))))),"REF. NÃO CADASTRADA NA TABELA")</f>
        <v/>
      </c>
      <c r="H213" s="36"/>
      <c r="I213" s="37" t="str">
        <f t="shared" si="0"/>
        <v/>
      </c>
      <c r="J213" s="33" t="str">
        <f t="shared" si="1"/>
        <v/>
      </c>
      <c r="K213" s="38" t="str">
        <f>IF($F$6="","",IF(B213="","",IF(C213="REF. NÃO CADASTRADA NA TABELA","",IFERROR(VLOOKUP(B213,#REF!,VLOOKUP($F$6,'BASE CONTÁBIL'!N:O,2,FALSE),FALSE),0))))</f>
        <v/>
      </c>
      <c r="L213" s="35" t="str">
        <f t="shared" si="2"/>
        <v/>
      </c>
      <c r="M213" s="35" t="str">
        <f t="shared" si="3"/>
        <v/>
      </c>
      <c r="N213" s="35" t="str">
        <f t="shared" si="4"/>
        <v/>
      </c>
      <c r="O213" s="35" t="str">
        <f t="shared" si="5"/>
        <v/>
      </c>
      <c r="P213" s="33" t="e">
        <f t="shared" si="6"/>
        <v>#REF!</v>
      </c>
      <c r="Q213" s="2"/>
      <c r="R213" s="2"/>
      <c r="S213" s="2"/>
      <c r="T213" s="2"/>
      <c r="U213" s="2"/>
    </row>
    <row r="214" spans="1:21" ht="12.75" customHeight="1" x14ac:dyDescent="0.2">
      <c r="A214" s="2"/>
      <c r="B214" s="31"/>
      <c r="C214" s="32" t="str">
        <f>IFERROR((IF(B214="","",IF($F$6="","Informar UF / Tabela / Prazo de Pagamento",IF($F$9="","Informar UF / Tabela / Prazo de Pagamento",IF($C$9="","Informar UF / Tabela / Prazo de Pagamento",VLOOKUP(B214,'Tabela 130 '!$A$5:$T$1001,2,FALSE)))))),"REF. NÃO CADASTRADA NA TABELA")</f>
        <v/>
      </c>
      <c r="D214" s="33" t="str">
        <f>IF('FOLHA DE PEDIDO '!B214="","",IF(C214="REF. NÃO CADASTRADA NA TABELA","",VLOOKUP(B214,'Tabela 130 '!$A$5:$AI$801,3,FALSE)))</f>
        <v/>
      </c>
      <c r="E214" s="34"/>
      <c r="F214" s="34"/>
      <c r="G214" s="35" t="str">
        <f>IFERROR(IF(C214="REF. NÃO CADASTRADA NA TABELA","",IF($C$9="","",IF($F$9="","",IF(B214="","",IF($C$9=119,VLOOKUP(B214,'Tabela 130 '!$A$5:$T$2711,MATCH($F$9,'Tabela 130 '!$A$5:$T$5,0),FALSE),IF($C$9=553,VLOOKUP(B214,#REF!,MATCH($F$9,#REF!,0),FALSE),IF($C$9=552,VLOOKUP(B214,#REF!,MATCH($F$9,#REF!,0),FALSE),IF($C$9=551,VLOOKUP(B214,#REF!,MATCH($F$9,#REF!,0),FALSE))))))))),"REF. NÃO CADASTRADA NA TABELA")</f>
        <v/>
      </c>
      <c r="H214" s="36"/>
      <c r="I214" s="37" t="str">
        <f t="shared" si="0"/>
        <v/>
      </c>
      <c r="J214" s="33" t="str">
        <f t="shared" si="1"/>
        <v/>
      </c>
      <c r="K214" s="38" t="str">
        <f>IF($F$6="","",IF(B214="","",IF(C214="REF. NÃO CADASTRADA NA TABELA","",IFERROR(VLOOKUP(B214,#REF!,VLOOKUP($F$6,'BASE CONTÁBIL'!N:O,2,FALSE),FALSE),0))))</f>
        <v/>
      </c>
      <c r="L214" s="35" t="str">
        <f t="shared" si="2"/>
        <v/>
      </c>
      <c r="M214" s="35" t="str">
        <f t="shared" si="3"/>
        <v/>
      </c>
      <c r="N214" s="35" t="str">
        <f t="shared" si="4"/>
        <v/>
      </c>
      <c r="O214" s="35" t="str">
        <f t="shared" si="5"/>
        <v/>
      </c>
      <c r="P214" s="33" t="e">
        <f t="shared" si="6"/>
        <v>#REF!</v>
      </c>
      <c r="Q214" s="2"/>
      <c r="R214" s="2"/>
      <c r="S214" s="2"/>
      <c r="T214" s="2"/>
      <c r="U214" s="2"/>
    </row>
    <row r="215" spans="1:21" ht="12.75" customHeight="1" x14ac:dyDescent="0.2">
      <c r="A215" s="2"/>
      <c r="B215" s="31"/>
      <c r="C215" s="32" t="str">
        <f>IFERROR((IF(B215="","",IF($F$6="","Informar UF / Tabela / Prazo de Pagamento",IF($F$9="","Informar UF / Tabela / Prazo de Pagamento",IF($C$9="","Informar UF / Tabela / Prazo de Pagamento",VLOOKUP(B215,'Tabela 130 '!$A$5:$T$1001,2,FALSE)))))),"REF. NÃO CADASTRADA NA TABELA")</f>
        <v/>
      </c>
      <c r="D215" s="33" t="str">
        <f>IF('FOLHA DE PEDIDO '!B215="","",IF(C215="REF. NÃO CADASTRADA NA TABELA","",VLOOKUP(B215,'Tabela 130 '!$A$5:$AI$801,3,FALSE)))</f>
        <v/>
      </c>
      <c r="E215" s="34"/>
      <c r="F215" s="34"/>
      <c r="G215" s="35" t="str">
        <f>IFERROR(IF(C215="REF. NÃO CADASTRADA NA TABELA","",IF($C$9="","",IF($F$9="","",IF(B215="","",IF($C$9=119,VLOOKUP(B215,'Tabela 130 '!$A$5:$T$2711,MATCH($F$9,'Tabela 130 '!$A$5:$T$5,0),FALSE),IF($C$9=553,VLOOKUP(B215,#REF!,MATCH($F$9,#REF!,0),FALSE),IF($C$9=552,VLOOKUP(B215,#REF!,MATCH($F$9,#REF!,0),FALSE),IF($C$9=551,VLOOKUP(B215,#REF!,MATCH($F$9,#REF!,0),FALSE))))))))),"REF. NÃO CADASTRADA NA TABELA")</f>
        <v/>
      </c>
      <c r="H215" s="36"/>
      <c r="I215" s="37" t="str">
        <f t="shared" si="0"/>
        <v/>
      </c>
      <c r="J215" s="33" t="str">
        <f t="shared" si="1"/>
        <v/>
      </c>
      <c r="K215" s="38" t="str">
        <f>IF($F$6="","",IF(B215="","",IF(C215="REF. NÃO CADASTRADA NA TABELA","",IFERROR(VLOOKUP(B215,#REF!,VLOOKUP($F$6,'BASE CONTÁBIL'!N:O,2,FALSE),FALSE),0))))</f>
        <v/>
      </c>
      <c r="L215" s="35" t="str">
        <f t="shared" si="2"/>
        <v/>
      </c>
      <c r="M215" s="35" t="str">
        <f t="shared" si="3"/>
        <v/>
      </c>
      <c r="N215" s="35" t="str">
        <f t="shared" si="4"/>
        <v/>
      </c>
      <c r="O215" s="35" t="str">
        <f t="shared" si="5"/>
        <v/>
      </c>
      <c r="P215" s="33" t="e">
        <f t="shared" si="6"/>
        <v>#REF!</v>
      </c>
      <c r="Q215" s="2"/>
      <c r="R215" s="2"/>
      <c r="S215" s="2"/>
      <c r="T215" s="2"/>
      <c r="U215" s="2"/>
    </row>
    <row r="216" spans="1:21" ht="12.75" customHeight="1" x14ac:dyDescent="0.2">
      <c r="A216" s="2"/>
      <c r="B216" s="31"/>
      <c r="C216" s="32" t="str">
        <f>IFERROR((IF(B216="","",IF($F$6="","Informar UF / Tabela / Prazo de Pagamento",IF($F$9="","Informar UF / Tabela / Prazo de Pagamento",IF($C$9="","Informar UF / Tabela / Prazo de Pagamento",VLOOKUP(B216,'Tabela 130 '!$A$5:$T$1001,2,FALSE)))))),"REF. NÃO CADASTRADA NA TABELA")</f>
        <v/>
      </c>
      <c r="D216" s="33" t="str">
        <f>IF('FOLHA DE PEDIDO '!B216="","",IF(C216="REF. NÃO CADASTRADA NA TABELA","",VLOOKUP(B216,'Tabela 130 '!$A$5:$AI$801,3,FALSE)))</f>
        <v/>
      </c>
      <c r="E216" s="34"/>
      <c r="F216" s="34"/>
      <c r="G216" s="35" t="str">
        <f>IFERROR(IF(C216="REF. NÃO CADASTRADA NA TABELA","",IF($C$9="","",IF($F$9="","",IF(B216="","",IF($C$9=119,VLOOKUP(B216,'Tabela 130 '!$A$5:$T$2711,MATCH($F$9,'Tabela 130 '!$A$5:$T$5,0),FALSE),IF($C$9=553,VLOOKUP(B216,#REF!,MATCH($F$9,#REF!,0),FALSE),IF($C$9=552,VLOOKUP(B216,#REF!,MATCH($F$9,#REF!,0),FALSE),IF($C$9=551,VLOOKUP(B216,#REF!,MATCH($F$9,#REF!,0),FALSE))))))))),"REF. NÃO CADASTRADA NA TABELA")</f>
        <v/>
      </c>
      <c r="H216" s="36"/>
      <c r="I216" s="37" t="str">
        <f t="shared" si="0"/>
        <v/>
      </c>
      <c r="J216" s="33" t="str">
        <f t="shared" si="1"/>
        <v/>
      </c>
      <c r="K216" s="38" t="str">
        <f>IF($F$6="","",IF(B216="","",IF(C216="REF. NÃO CADASTRADA NA TABELA","",IFERROR(VLOOKUP(B216,#REF!,VLOOKUP($F$6,'BASE CONTÁBIL'!N:O,2,FALSE),FALSE),0))))</f>
        <v/>
      </c>
      <c r="L216" s="35" t="str">
        <f t="shared" si="2"/>
        <v/>
      </c>
      <c r="M216" s="35" t="str">
        <f t="shared" si="3"/>
        <v/>
      </c>
      <c r="N216" s="35" t="str">
        <f t="shared" si="4"/>
        <v/>
      </c>
      <c r="O216" s="35" t="str">
        <f t="shared" si="5"/>
        <v/>
      </c>
      <c r="P216" s="33" t="e">
        <f t="shared" si="6"/>
        <v>#REF!</v>
      </c>
      <c r="Q216" s="2"/>
      <c r="R216" s="2"/>
      <c r="S216" s="2"/>
      <c r="T216" s="2"/>
      <c r="U216" s="2"/>
    </row>
    <row r="217" spans="1:21" ht="12.75" customHeight="1" x14ac:dyDescent="0.2">
      <c r="A217" s="2"/>
      <c r="B217" s="31"/>
      <c r="C217" s="32" t="str">
        <f>IFERROR((IF(B217="","",IF($F$6="","Informar UF / Tabela / Prazo de Pagamento",IF($F$9="","Informar UF / Tabela / Prazo de Pagamento",IF($C$9="","Informar UF / Tabela / Prazo de Pagamento",VLOOKUP(B217,'Tabela 130 '!$A$5:$T$1001,2,FALSE)))))),"REF. NÃO CADASTRADA NA TABELA")</f>
        <v/>
      </c>
      <c r="D217" s="33" t="str">
        <f>IF('FOLHA DE PEDIDO '!B217="","",IF(C217="REF. NÃO CADASTRADA NA TABELA","",VLOOKUP(B217,'Tabela 130 '!$A$5:$AI$801,3,FALSE)))</f>
        <v/>
      </c>
      <c r="E217" s="34"/>
      <c r="F217" s="34"/>
      <c r="G217" s="35" t="str">
        <f>IFERROR(IF(C217="REF. NÃO CADASTRADA NA TABELA","",IF($C$9="","",IF($F$9="","",IF(B217="","",IF($C$9=119,VLOOKUP(B217,'Tabela 130 '!$A$5:$T$2711,MATCH($F$9,'Tabela 130 '!$A$5:$T$5,0),FALSE),IF($C$9=553,VLOOKUP(B217,#REF!,MATCH($F$9,#REF!,0),FALSE),IF($C$9=552,VLOOKUP(B217,#REF!,MATCH($F$9,#REF!,0),FALSE),IF($C$9=551,VLOOKUP(B217,#REF!,MATCH($F$9,#REF!,0),FALSE))))))))),"REF. NÃO CADASTRADA NA TABELA")</f>
        <v/>
      </c>
      <c r="H217" s="36"/>
      <c r="I217" s="37" t="str">
        <f t="shared" si="0"/>
        <v/>
      </c>
      <c r="J217" s="33" t="str">
        <f t="shared" si="1"/>
        <v/>
      </c>
      <c r="K217" s="38" t="str">
        <f>IF($F$6="","",IF(B217="","",IF(C217="REF. NÃO CADASTRADA NA TABELA","",IFERROR(VLOOKUP(B217,#REF!,VLOOKUP($F$6,'BASE CONTÁBIL'!N:O,2,FALSE),FALSE),0))))</f>
        <v/>
      </c>
      <c r="L217" s="35" t="str">
        <f t="shared" si="2"/>
        <v/>
      </c>
      <c r="M217" s="35" t="str">
        <f t="shared" si="3"/>
        <v/>
      </c>
      <c r="N217" s="35" t="str">
        <f t="shared" si="4"/>
        <v/>
      </c>
      <c r="O217" s="35" t="str">
        <f t="shared" si="5"/>
        <v/>
      </c>
      <c r="P217" s="33" t="e">
        <f t="shared" si="6"/>
        <v>#REF!</v>
      </c>
      <c r="Q217" s="2"/>
      <c r="R217" s="2"/>
      <c r="S217" s="2"/>
      <c r="T217" s="2"/>
      <c r="U217" s="2"/>
    </row>
    <row r="218" spans="1:21" ht="12.75" customHeight="1" x14ac:dyDescent="0.2">
      <c r="A218" s="2"/>
      <c r="B218" s="31"/>
      <c r="C218" s="32" t="str">
        <f>IFERROR((IF(B218="","",IF($F$6="","Informar UF / Tabela / Prazo de Pagamento",IF($F$9="","Informar UF / Tabela / Prazo de Pagamento",IF($C$9="","Informar UF / Tabela / Prazo de Pagamento",VLOOKUP(B218,'Tabela 130 '!$A$5:$T$1001,2,FALSE)))))),"REF. NÃO CADASTRADA NA TABELA")</f>
        <v/>
      </c>
      <c r="D218" s="33" t="str">
        <f>IF('FOLHA DE PEDIDO '!B218="","",IF(C218="REF. NÃO CADASTRADA NA TABELA","",VLOOKUP(B218,'Tabela 130 '!$A$5:$AI$801,3,FALSE)))</f>
        <v/>
      </c>
      <c r="E218" s="34"/>
      <c r="F218" s="34"/>
      <c r="G218" s="35" t="str">
        <f>IFERROR(IF(C218="REF. NÃO CADASTRADA NA TABELA","",IF($C$9="","",IF($F$9="","",IF(B218="","",IF($C$9=119,VLOOKUP(B218,'Tabela 130 '!$A$5:$T$2711,MATCH($F$9,'Tabela 130 '!$A$5:$T$5,0),FALSE),IF($C$9=553,VLOOKUP(B218,#REF!,MATCH($F$9,#REF!,0),FALSE),IF($C$9=552,VLOOKUP(B218,#REF!,MATCH($F$9,#REF!,0),FALSE),IF($C$9=551,VLOOKUP(B218,#REF!,MATCH($F$9,#REF!,0),FALSE))))))))),"REF. NÃO CADASTRADA NA TABELA")</f>
        <v/>
      </c>
      <c r="H218" s="36"/>
      <c r="I218" s="37" t="str">
        <f t="shared" si="0"/>
        <v/>
      </c>
      <c r="J218" s="33" t="str">
        <f t="shared" si="1"/>
        <v/>
      </c>
      <c r="K218" s="38" t="str">
        <f>IF($F$6="","",IF(B218="","",IF(C218="REF. NÃO CADASTRADA NA TABELA","",IFERROR(VLOOKUP(B218,#REF!,VLOOKUP($F$6,'BASE CONTÁBIL'!N:O,2,FALSE),FALSE),0))))</f>
        <v/>
      </c>
      <c r="L218" s="35" t="str">
        <f t="shared" si="2"/>
        <v/>
      </c>
      <c r="M218" s="35" t="str">
        <f t="shared" si="3"/>
        <v/>
      </c>
      <c r="N218" s="35" t="str">
        <f t="shared" si="4"/>
        <v/>
      </c>
      <c r="O218" s="35" t="str">
        <f t="shared" si="5"/>
        <v/>
      </c>
      <c r="P218" s="33" t="e">
        <f t="shared" si="6"/>
        <v>#REF!</v>
      </c>
      <c r="Q218" s="2"/>
      <c r="R218" s="2"/>
      <c r="S218" s="2"/>
      <c r="T218" s="2"/>
      <c r="U218" s="2"/>
    </row>
    <row r="219" spans="1:21" ht="12.75" customHeight="1" x14ac:dyDescent="0.2">
      <c r="A219" s="2"/>
      <c r="B219" s="31"/>
      <c r="C219" s="32" t="str">
        <f>IFERROR((IF(B219="","",IF($F$6="","Informar UF / Tabela / Prazo de Pagamento",IF($F$9="","Informar UF / Tabela / Prazo de Pagamento",IF($C$9="","Informar UF / Tabela / Prazo de Pagamento",VLOOKUP(B219,'Tabela 130 '!$A$5:$T$1001,2,FALSE)))))),"REF. NÃO CADASTRADA NA TABELA")</f>
        <v/>
      </c>
      <c r="D219" s="33" t="str">
        <f>IF('FOLHA DE PEDIDO '!B219="","",IF(C219="REF. NÃO CADASTRADA NA TABELA","",VLOOKUP(B219,'Tabela 130 '!$A$5:$AI$801,3,FALSE)))</f>
        <v/>
      </c>
      <c r="E219" s="34"/>
      <c r="F219" s="34"/>
      <c r="G219" s="35" t="str">
        <f>IFERROR(IF(C219="REF. NÃO CADASTRADA NA TABELA","",IF($C$9="","",IF($F$9="","",IF(B219="","",IF($C$9=119,VLOOKUP(B219,'Tabela 130 '!$A$5:$T$2711,MATCH($F$9,'Tabela 130 '!$A$5:$T$5,0),FALSE),IF($C$9=553,VLOOKUP(B219,#REF!,MATCH($F$9,#REF!,0),FALSE),IF($C$9=552,VLOOKUP(B219,#REF!,MATCH($F$9,#REF!,0),FALSE),IF($C$9=551,VLOOKUP(B219,#REF!,MATCH($F$9,#REF!,0),FALSE))))))))),"REF. NÃO CADASTRADA NA TABELA")</f>
        <v/>
      </c>
      <c r="H219" s="36"/>
      <c r="I219" s="37" t="str">
        <f t="shared" si="0"/>
        <v/>
      </c>
      <c r="J219" s="33" t="str">
        <f t="shared" si="1"/>
        <v/>
      </c>
      <c r="K219" s="38" t="str">
        <f>IF($F$6="","",IF(B219="","",IF(C219="REF. NÃO CADASTRADA NA TABELA","",IFERROR(VLOOKUP(B219,#REF!,VLOOKUP($F$6,'BASE CONTÁBIL'!N:O,2,FALSE),FALSE),0))))</f>
        <v/>
      </c>
      <c r="L219" s="35" t="str">
        <f t="shared" si="2"/>
        <v/>
      </c>
      <c r="M219" s="35" t="str">
        <f t="shared" si="3"/>
        <v/>
      </c>
      <c r="N219" s="35" t="str">
        <f t="shared" si="4"/>
        <v/>
      </c>
      <c r="O219" s="35" t="str">
        <f t="shared" si="5"/>
        <v/>
      </c>
      <c r="P219" s="33" t="e">
        <f t="shared" si="6"/>
        <v>#REF!</v>
      </c>
      <c r="Q219" s="2"/>
      <c r="R219" s="2"/>
      <c r="S219" s="2"/>
      <c r="T219" s="2"/>
      <c r="U219" s="2"/>
    </row>
    <row r="220" spans="1:21" ht="12.75" customHeight="1" x14ac:dyDescent="0.2">
      <c r="A220" s="2"/>
      <c r="B220" s="31"/>
      <c r="C220" s="32" t="str">
        <f>IFERROR((IF(B220="","",IF($F$6="","Informar UF / Tabela / Prazo de Pagamento",IF($F$9="","Informar UF / Tabela / Prazo de Pagamento",IF($C$9="","Informar UF / Tabela / Prazo de Pagamento",VLOOKUP(B220,'Tabela 130 '!$A$5:$T$1001,2,FALSE)))))),"REF. NÃO CADASTRADA NA TABELA")</f>
        <v/>
      </c>
      <c r="D220" s="33" t="str">
        <f>IF('FOLHA DE PEDIDO '!B220="","",IF(C220="REF. NÃO CADASTRADA NA TABELA","",VLOOKUP(B220,'Tabela 130 '!$A$5:$AI$801,3,FALSE)))</f>
        <v/>
      </c>
      <c r="E220" s="34"/>
      <c r="F220" s="34"/>
      <c r="G220" s="35" t="str">
        <f>IFERROR(IF(C220="REF. NÃO CADASTRADA NA TABELA","",IF($C$9="","",IF($F$9="","",IF(B220="","",IF($C$9=119,VLOOKUP(B220,'Tabela 130 '!$A$5:$T$2711,MATCH($F$9,'Tabela 130 '!$A$5:$T$5,0),FALSE),IF($C$9=553,VLOOKUP(B220,#REF!,MATCH($F$9,#REF!,0),FALSE),IF($C$9=552,VLOOKUP(B220,#REF!,MATCH($F$9,#REF!,0),FALSE),IF($C$9=551,VLOOKUP(B220,#REF!,MATCH($F$9,#REF!,0),FALSE))))))))),"REF. NÃO CADASTRADA NA TABELA")</f>
        <v/>
      </c>
      <c r="H220" s="36"/>
      <c r="I220" s="37" t="str">
        <f t="shared" si="0"/>
        <v/>
      </c>
      <c r="J220" s="33" t="str">
        <f t="shared" si="1"/>
        <v/>
      </c>
      <c r="K220" s="38" t="str">
        <f>IF($F$6="","",IF(B220="","",IF(C220="REF. NÃO CADASTRADA NA TABELA","",IFERROR(VLOOKUP(B220,#REF!,VLOOKUP($F$6,'BASE CONTÁBIL'!N:O,2,FALSE),FALSE),0))))</f>
        <v/>
      </c>
      <c r="L220" s="35" t="str">
        <f t="shared" si="2"/>
        <v/>
      </c>
      <c r="M220" s="35" t="str">
        <f t="shared" si="3"/>
        <v/>
      </c>
      <c r="N220" s="35" t="str">
        <f t="shared" si="4"/>
        <v/>
      </c>
      <c r="O220" s="35" t="str">
        <f t="shared" si="5"/>
        <v/>
      </c>
      <c r="P220" s="33" t="e">
        <f t="shared" si="6"/>
        <v>#REF!</v>
      </c>
      <c r="Q220" s="2"/>
      <c r="R220" s="2"/>
      <c r="S220" s="2"/>
      <c r="T220" s="2"/>
      <c r="U220" s="2"/>
    </row>
    <row r="221" spans="1:21" ht="12.75" customHeight="1" x14ac:dyDescent="0.2">
      <c r="A221" s="2"/>
      <c r="B221" s="31"/>
      <c r="C221" s="32" t="str">
        <f>IFERROR((IF(B221="","",IF($F$6="","Informar UF / Tabela / Prazo de Pagamento",IF($F$9="","Informar UF / Tabela / Prazo de Pagamento",IF($C$9="","Informar UF / Tabela / Prazo de Pagamento",VLOOKUP(B221,'Tabela 130 '!$A$5:$T$1001,2,FALSE)))))),"REF. NÃO CADASTRADA NA TABELA")</f>
        <v/>
      </c>
      <c r="D221" s="33" t="str">
        <f>IF('FOLHA DE PEDIDO '!B221="","",IF(C221="REF. NÃO CADASTRADA NA TABELA","",VLOOKUP(B221,'Tabela 130 '!$A$5:$AI$801,3,FALSE)))</f>
        <v/>
      </c>
      <c r="E221" s="34"/>
      <c r="F221" s="34"/>
      <c r="G221" s="35" t="str">
        <f>IFERROR(IF(C221="REF. NÃO CADASTRADA NA TABELA","",IF($C$9="","",IF($F$9="","",IF(B221="","",IF($C$9=119,VLOOKUP(B221,'Tabela 130 '!$A$5:$T$2711,MATCH($F$9,'Tabela 130 '!$A$5:$T$5,0),FALSE),IF($C$9=553,VLOOKUP(B221,#REF!,MATCH($F$9,#REF!,0),FALSE),IF($C$9=552,VLOOKUP(B221,#REF!,MATCH($F$9,#REF!,0),FALSE),IF($C$9=551,VLOOKUP(B221,#REF!,MATCH($F$9,#REF!,0),FALSE))))))))),"REF. NÃO CADASTRADA NA TABELA")</f>
        <v/>
      </c>
      <c r="H221" s="36"/>
      <c r="I221" s="37" t="str">
        <f t="shared" si="0"/>
        <v/>
      </c>
      <c r="J221" s="33" t="str">
        <f t="shared" si="1"/>
        <v/>
      </c>
      <c r="K221" s="38" t="str">
        <f>IF($F$6="","",IF(B221="","",IF(C221="REF. NÃO CADASTRADA NA TABELA","",IFERROR(VLOOKUP(B221,#REF!,VLOOKUP($F$6,'BASE CONTÁBIL'!N:O,2,FALSE),FALSE),0))))</f>
        <v/>
      </c>
      <c r="L221" s="35" t="str">
        <f t="shared" si="2"/>
        <v/>
      </c>
      <c r="M221" s="35" t="str">
        <f t="shared" si="3"/>
        <v/>
      </c>
      <c r="N221" s="35" t="str">
        <f t="shared" si="4"/>
        <v/>
      </c>
      <c r="O221" s="35" t="str">
        <f t="shared" si="5"/>
        <v/>
      </c>
      <c r="P221" s="33" t="e">
        <f t="shared" si="6"/>
        <v>#REF!</v>
      </c>
      <c r="Q221" s="2"/>
      <c r="R221" s="2"/>
      <c r="S221" s="2"/>
      <c r="T221" s="2"/>
      <c r="U221" s="2"/>
    </row>
    <row r="222" spans="1:21" ht="12.75" customHeight="1" x14ac:dyDescent="0.2">
      <c r="A222" s="2"/>
      <c r="B222" s="31"/>
      <c r="C222" s="32" t="str">
        <f>IFERROR((IF(B222="","",IF($F$6="","Informar UF / Tabela / Prazo de Pagamento",IF($F$9="","Informar UF / Tabela / Prazo de Pagamento",IF($C$9="","Informar UF / Tabela / Prazo de Pagamento",VLOOKUP(B222,'Tabela 130 '!$A$5:$T$1001,2,FALSE)))))),"REF. NÃO CADASTRADA NA TABELA")</f>
        <v/>
      </c>
      <c r="D222" s="33" t="str">
        <f>IF('FOLHA DE PEDIDO '!B222="","",IF(C222="REF. NÃO CADASTRADA NA TABELA","",VLOOKUP(B222,'Tabela 130 '!$A$5:$AI$801,3,FALSE)))</f>
        <v/>
      </c>
      <c r="E222" s="34"/>
      <c r="F222" s="34"/>
      <c r="G222" s="35" t="str">
        <f>IFERROR(IF(C222="REF. NÃO CADASTRADA NA TABELA","",IF($C$9="","",IF($F$9="","",IF(B222="","",IF($C$9=119,VLOOKUP(B222,'Tabela 130 '!$A$5:$T$2711,MATCH($F$9,'Tabela 130 '!$A$5:$T$5,0),FALSE),IF($C$9=553,VLOOKUP(B222,#REF!,MATCH($F$9,#REF!,0),FALSE),IF($C$9=552,VLOOKUP(B222,#REF!,MATCH($F$9,#REF!,0),FALSE),IF($C$9=551,VLOOKUP(B222,#REF!,MATCH($F$9,#REF!,0),FALSE))))))))),"REF. NÃO CADASTRADA NA TABELA")</f>
        <v/>
      </c>
      <c r="H222" s="36"/>
      <c r="I222" s="37" t="str">
        <f t="shared" si="0"/>
        <v/>
      </c>
      <c r="J222" s="33" t="str">
        <f t="shared" si="1"/>
        <v/>
      </c>
      <c r="K222" s="38" t="str">
        <f>IF($F$6="","",IF(B222="","",IF(C222="REF. NÃO CADASTRADA NA TABELA","",IFERROR(VLOOKUP(B222,#REF!,VLOOKUP($F$6,'BASE CONTÁBIL'!N:O,2,FALSE),FALSE),0))))</f>
        <v/>
      </c>
      <c r="L222" s="35" t="str">
        <f t="shared" si="2"/>
        <v/>
      </c>
      <c r="M222" s="35" t="str">
        <f t="shared" si="3"/>
        <v/>
      </c>
      <c r="N222" s="35" t="str">
        <f t="shared" si="4"/>
        <v/>
      </c>
      <c r="O222" s="35" t="str">
        <f t="shared" si="5"/>
        <v/>
      </c>
      <c r="P222" s="33" t="e">
        <f t="shared" si="6"/>
        <v>#REF!</v>
      </c>
      <c r="Q222" s="2"/>
      <c r="R222" s="2"/>
      <c r="S222" s="2"/>
      <c r="T222" s="2"/>
      <c r="U222" s="2"/>
    </row>
    <row r="223" spans="1:21" ht="12.75" customHeight="1" x14ac:dyDescent="0.2">
      <c r="A223" s="2"/>
      <c r="B223" s="31"/>
      <c r="C223" s="32" t="str">
        <f>IFERROR((IF(B223="","",IF($F$6="","Informar UF / Tabela / Prazo de Pagamento",IF($F$9="","Informar UF / Tabela / Prazo de Pagamento",IF($C$9="","Informar UF / Tabela / Prazo de Pagamento",VLOOKUP(B223,'Tabela 130 '!$A$5:$T$1001,2,FALSE)))))),"REF. NÃO CADASTRADA NA TABELA")</f>
        <v/>
      </c>
      <c r="D223" s="33" t="str">
        <f>IF('FOLHA DE PEDIDO '!B223="","",IF(C223="REF. NÃO CADASTRADA NA TABELA","",VLOOKUP(B223,'Tabela 130 '!$A$5:$AI$801,3,FALSE)))</f>
        <v/>
      </c>
      <c r="E223" s="34"/>
      <c r="F223" s="34"/>
      <c r="G223" s="35" t="str">
        <f>IFERROR(IF(C223="REF. NÃO CADASTRADA NA TABELA","",IF($C$9="","",IF($F$9="","",IF(B223="","",IF($C$9=119,VLOOKUP(B223,'Tabela 130 '!$A$5:$T$2711,MATCH($F$9,'Tabela 130 '!$A$5:$T$5,0),FALSE),IF($C$9=553,VLOOKUP(B223,#REF!,MATCH($F$9,#REF!,0),FALSE),IF($C$9=552,VLOOKUP(B223,#REF!,MATCH($F$9,#REF!,0),FALSE),IF($C$9=551,VLOOKUP(B223,#REF!,MATCH($F$9,#REF!,0),FALSE))))))))),"REF. NÃO CADASTRADA NA TABELA")</f>
        <v/>
      </c>
      <c r="H223" s="36"/>
      <c r="I223" s="37" t="str">
        <f t="shared" si="0"/>
        <v/>
      </c>
      <c r="J223" s="33" t="str">
        <f t="shared" si="1"/>
        <v/>
      </c>
      <c r="K223" s="38" t="str">
        <f>IF($F$6="","",IF(B223="","",IF(C223="REF. NÃO CADASTRADA NA TABELA","",IFERROR(VLOOKUP(B223,#REF!,VLOOKUP($F$6,'BASE CONTÁBIL'!N:O,2,FALSE),FALSE),0))))</f>
        <v/>
      </c>
      <c r="L223" s="35" t="str">
        <f t="shared" si="2"/>
        <v/>
      </c>
      <c r="M223" s="35" t="str">
        <f t="shared" si="3"/>
        <v/>
      </c>
      <c r="N223" s="35" t="str">
        <f t="shared" si="4"/>
        <v/>
      </c>
      <c r="O223" s="35" t="str">
        <f t="shared" si="5"/>
        <v/>
      </c>
      <c r="P223" s="33" t="e">
        <f t="shared" si="6"/>
        <v>#REF!</v>
      </c>
      <c r="Q223" s="2"/>
      <c r="R223" s="2"/>
      <c r="S223" s="2"/>
      <c r="T223" s="2"/>
      <c r="U223" s="2"/>
    </row>
    <row r="224" spans="1:21" ht="12.75" customHeight="1" x14ac:dyDescent="0.2">
      <c r="A224" s="2"/>
      <c r="B224" s="31"/>
      <c r="C224" s="32" t="str">
        <f>IFERROR((IF(B224="","",IF($F$6="","Informar UF / Tabela / Prazo de Pagamento",IF($F$9="","Informar UF / Tabela / Prazo de Pagamento",IF($C$9="","Informar UF / Tabela / Prazo de Pagamento",VLOOKUP(B224,'Tabela 130 '!$A$5:$T$1001,2,FALSE)))))),"REF. NÃO CADASTRADA NA TABELA")</f>
        <v/>
      </c>
      <c r="D224" s="33" t="str">
        <f>IF('FOLHA DE PEDIDO '!B224="","",IF(C224="REF. NÃO CADASTRADA NA TABELA","",VLOOKUP(B224,'Tabela 130 '!$A$5:$AI$801,3,FALSE)))</f>
        <v/>
      </c>
      <c r="E224" s="34"/>
      <c r="F224" s="34"/>
      <c r="G224" s="35" t="str">
        <f>IFERROR(IF(C224="REF. NÃO CADASTRADA NA TABELA","",IF($C$9="","",IF($F$9="","",IF(B224="","",IF($C$9=119,VLOOKUP(B224,'Tabela 130 '!$A$5:$T$2711,MATCH($F$9,'Tabela 130 '!$A$5:$T$5,0),FALSE),IF($C$9=553,VLOOKUP(B224,#REF!,MATCH($F$9,#REF!,0),FALSE),IF($C$9=552,VLOOKUP(B224,#REF!,MATCH($F$9,#REF!,0),FALSE),IF($C$9=551,VLOOKUP(B224,#REF!,MATCH($F$9,#REF!,0),FALSE))))))))),"REF. NÃO CADASTRADA NA TABELA")</f>
        <v/>
      </c>
      <c r="H224" s="36"/>
      <c r="I224" s="37" t="str">
        <f t="shared" si="0"/>
        <v/>
      </c>
      <c r="J224" s="33" t="str">
        <f t="shared" si="1"/>
        <v/>
      </c>
      <c r="K224" s="38" t="str">
        <f>IF($F$6="","",IF(B224="","",IF(C224="REF. NÃO CADASTRADA NA TABELA","",IFERROR(VLOOKUP(B224,#REF!,VLOOKUP($F$6,'BASE CONTÁBIL'!N:O,2,FALSE),FALSE),0))))</f>
        <v/>
      </c>
      <c r="L224" s="35" t="str">
        <f t="shared" si="2"/>
        <v/>
      </c>
      <c r="M224" s="35" t="str">
        <f t="shared" si="3"/>
        <v/>
      </c>
      <c r="N224" s="35" t="str">
        <f t="shared" si="4"/>
        <v/>
      </c>
      <c r="O224" s="35" t="str">
        <f t="shared" si="5"/>
        <v/>
      </c>
      <c r="P224" s="33" t="e">
        <f t="shared" si="6"/>
        <v>#REF!</v>
      </c>
      <c r="Q224" s="2"/>
      <c r="R224" s="2"/>
      <c r="S224" s="2"/>
      <c r="T224" s="2"/>
      <c r="U224" s="2"/>
    </row>
    <row r="225" spans="1:21" ht="12.75" customHeight="1" x14ac:dyDescent="0.2">
      <c r="A225" s="2"/>
      <c r="B225" s="31"/>
      <c r="C225" s="32" t="str">
        <f>IFERROR((IF(B225="","",IF($F$6="","Informar UF / Tabela / Prazo de Pagamento",IF($F$9="","Informar UF / Tabela / Prazo de Pagamento",IF($C$9="","Informar UF / Tabela / Prazo de Pagamento",VLOOKUP(B225,'Tabela 130 '!$A$5:$T$1001,2,FALSE)))))),"REF. NÃO CADASTRADA NA TABELA")</f>
        <v/>
      </c>
      <c r="D225" s="33" t="str">
        <f>IF('FOLHA DE PEDIDO '!B225="","",IF(C225="REF. NÃO CADASTRADA NA TABELA","",VLOOKUP(B225,'Tabela 130 '!$A$5:$AI$801,3,FALSE)))</f>
        <v/>
      </c>
      <c r="E225" s="34"/>
      <c r="F225" s="34"/>
      <c r="G225" s="35" t="str">
        <f>IFERROR(IF(C225="REF. NÃO CADASTRADA NA TABELA","",IF($C$9="","",IF($F$9="","",IF(B225="","",IF($C$9=119,VLOOKUP(B225,'Tabela 130 '!$A$5:$T$2711,MATCH($F$9,'Tabela 130 '!$A$5:$T$5,0),FALSE),IF($C$9=553,VLOOKUP(B225,#REF!,MATCH($F$9,#REF!,0),FALSE),IF($C$9=552,VLOOKUP(B225,#REF!,MATCH($F$9,#REF!,0),FALSE),IF($C$9=551,VLOOKUP(B225,#REF!,MATCH($F$9,#REF!,0),FALSE))))))))),"REF. NÃO CADASTRADA NA TABELA")</f>
        <v/>
      </c>
      <c r="H225" s="36"/>
      <c r="I225" s="37" t="str">
        <f t="shared" si="0"/>
        <v/>
      </c>
      <c r="J225" s="33" t="str">
        <f t="shared" si="1"/>
        <v/>
      </c>
      <c r="K225" s="38" t="str">
        <f>IF($F$6="","",IF(B225="","",IF(C225="REF. NÃO CADASTRADA NA TABELA","",IFERROR(VLOOKUP(B225,#REF!,VLOOKUP($F$6,'BASE CONTÁBIL'!N:O,2,FALSE),FALSE),0))))</f>
        <v/>
      </c>
      <c r="L225" s="35" t="str">
        <f t="shared" si="2"/>
        <v/>
      </c>
      <c r="M225" s="35" t="str">
        <f t="shared" si="3"/>
        <v/>
      </c>
      <c r="N225" s="35" t="str">
        <f t="shared" si="4"/>
        <v/>
      </c>
      <c r="O225" s="35" t="str">
        <f t="shared" si="5"/>
        <v/>
      </c>
      <c r="P225" s="33" t="e">
        <f t="shared" si="6"/>
        <v>#REF!</v>
      </c>
      <c r="Q225" s="2"/>
      <c r="R225" s="2"/>
      <c r="S225" s="2"/>
      <c r="T225" s="2"/>
      <c r="U225" s="2"/>
    </row>
    <row r="226" spans="1:21" ht="12.75" customHeight="1" x14ac:dyDescent="0.2">
      <c r="A226" s="2"/>
      <c r="B226" s="31"/>
      <c r="C226" s="32" t="str">
        <f>IFERROR((IF(B226="","",IF($F$6="","Informar UF / Tabela / Prazo de Pagamento",IF($F$9="","Informar UF / Tabela / Prazo de Pagamento",IF($C$9="","Informar UF / Tabela / Prazo de Pagamento",VLOOKUP(B226,'Tabela 130 '!$A$5:$T$1001,2,FALSE)))))),"REF. NÃO CADASTRADA NA TABELA")</f>
        <v/>
      </c>
      <c r="D226" s="33" t="str">
        <f>IF('FOLHA DE PEDIDO '!B226="","",IF(C226="REF. NÃO CADASTRADA NA TABELA","",VLOOKUP(B226,'Tabela 130 '!$A$5:$AI$801,3,FALSE)))</f>
        <v/>
      </c>
      <c r="E226" s="34"/>
      <c r="F226" s="34"/>
      <c r="G226" s="35" t="str">
        <f>IFERROR(IF(C226="REF. NÃO CADASTRADA NA TABELA","",IF($C$9="","",IF($F$9="","",IF(B226="","",IF($C$9=119,VLOOKUP(B226,'Tabela 130 '!$A$5:$T$2711,MATCH($F$9,'Tabela 130 '!$A$5:$T$5,0),FALSE),IF($C$9=553,VLOOKUP(B226,#REF!,MATCH($F$9,#REF!,0),FALSE),IF($C$9=552,VLOOKUP(B226,#REF!,MATCH($F$9,#REF!,0),FALSE),IF($C$9=551,VLOOKUP(B226,#REF!,MATCH($F$9,#REF!,0),FALSE))))))))),"REF. NÃO CADASTRADA NA TABELA")</f>
        <v/>
      </c>
      <c r="H226" s="36"/>
      <c r="I226" s="37" t="str">
        <f t="shared" si="0"/>
        <v/>
      </c>
      <c r="J226" s="33" t="str">
        <f t="shared" si="1"/>
        <v/>
      </c>
      <c r="K226" s="38" t="str">
        <f>IF($F$6="","",IF(B226="","",IF(C226="REF. NÃO CADASTRADA NA TABELA","",IFERROR(VLOOKUP(B226,#REF!,VLOOKUP($F$6,'BASE CONTÁBIL'!N:O,2,FALSE),FALSE),0))))</f>
        <v/>
      </c>
      <c r="L226" s="35" t="str">
        <f t="shared" si="2"/>
        <v/>
      </c>
      <c r="M226" s="35" t="str">
        <f t="shared" si="3"/>
        <v/>
      </c>
      <c r="N226" s="35" t="str">
        <f t="shared" si="4"/>
        <v/>
      </c>
      <c r="O226" s="35" t="str">
        <f t="shared" si="5"/>
        <v/>
      </c>
      <c r="P226" s="33" t="e">
        <f t="shared" si="6"/>
        <v>#REF!</v>
      </c>
      <c r="Q226" s="2"/>
      <c r="R226" s="2"/>
      <c r="S226" s="2"/>
      <c r="T226" s="2"/>
      <c r="U226" s="2"/>
    </row>
    <row r="227" spans="1:21" ht="12.75" customHeight="1" x14ac:dyDescent="0.2">
      <c r="A227" s="2"/>
      <c r="B227" s="31"/>
      <c r="C227" s="32" t="str">
        <f>IFERROR((IF(B227="","",IF($F$6="","Informar UF / Tabela / Prazo de Pagamento",IF($F$9="","Informar UF / Tabela / Prazo de Pagamento",IF($C$9="","Informar UF / Tabela / Prazo de Pagamento",VLOOKUP(B227,'Tabela 130 '!$A$5:$T$1001,2,FALSE)))))),"REF. NÃO CADASTRADA NA TABELA")</f>
        <v/>
      </c>
      <c r="D227" s="33" t="str">
        <f>IF('FOLHA DE PEDIDO '!B227="","",IF(C227="REF. NÃO CADASTRADA NA TABELA","",VLOOKUP(B227,'Tabela 130 '!$A$5:$AI$801,3,FALSE)))</f>
        <v/>
      </c>
      <c r="E227" s="34"/>
      <c r="F227" s="34"/>
      <c r="G227" s="35" t="str">
        <f>IFERROR(IF(C227="REF. NÃO CADASTRADA NA TABELA","",IF($C$9="","",IF($F$9="","",IF(B227="","",IF($C$9=119,VLOOKUP(B227,'Tabela 130 '!$A$5:$T$2711,MATCH($F$9,'Tabela 130 '!$A$5:$T$5,0),FALSE),IF($C$9=553,VLOOKUP(B227,#REF!,MATCH($F$9,#REF!,0),FALSE),IF($C$9=552,VLOOKUP(B227,#REF!,MATCH($F$9,#REF!,0),FALSE),IF($C$9=551,VLOOKUP(B227,#REF!,MATCH($F$9,#REF!,0),FALSE))))))))),"REF. NÃO CADASTRADA NA TABELA")</f>
        <v/>
      </c>
      <c r="H227" s="36"/>
      <c r="I227" s="37" t="str">
        <f t="shared" si="0"/>
        <v/>
      </c>
      <c r="J227" s="33" t="str">
        <f t="shared" si="1"/>
        <v/>
      </c>
      <c r="K227" s="38" t="str">
        <f>IF($F$6="","",IF(B227="","",IF(C227="REF. NÃO CADASTRADA NA TABELA","",IFERROR(VLOOKUP(B227,#REF!,VLOOKUP($F$6,'BASE CONTÁBIL'!N:O,2,FALSE),FALSE),0))))</f>
        <v/>
      </c>
      <c r="L227" s="35" t="str">
        <f t="shared" si="2"/>
        <v/>
      </c>
      <c r="M227" s="35" t="str">
        <f t="shared" si="3"/>
        <v/>
      </c>
      <c r="N227" s="35" t="str">
        <f t="shared" si="4"/>
        <v/>
      </c>
      <c r="O227" s="35" t="str">
        <f t="shared" si="5"/>
        <v/>
      </c>
      <c r="P227" s="33" t="e">
        <f t="shared" si="6"/>
        <v>#REF!</v>
      </c>
      <c r="Q227" s="2"/>
      <c r="R227" s="2"/>
      <c r="S227" s="2"/>
      <c r="T227" s="2"/>
      <c r="U227" s="2"/>
    </row>
    <row r="228" spans="1:21" ht="12.75" customHeight="1" x14ac:dyDescent="0.2">
      <c r="A228" s="2"/>
      <c r="B228" s="31"/>
      <c r="C228" s="32" t="str">
        <f>IFERROR((IF(B228="","",IF($F$6="","Informar UF / Tabela / Prazo de Pagamento",IF($F$9="","Informar UF / Tabela / Prazo de Pagamento",IF($C$9="","Informar UF / Tabela / Prazo de Pagamento",VLOOKUP(B228,'Tabela 130 '!$A$5:$T$1001,2,FALSE)))))),"REF. NÃO CADASTRADA NA TABELA")</f>
        <v/>
      </c>
      <c r="D228" s="33" t="str">
        <f>IF('FOLHA DE PEDIDO '!B228="","",IF(C228="REF. NÃO CADASTRADA NA TABELA","",VLOOKUP(B228,'Tabela 130 '!$A$5:$AI$801,3,FALSE)))</f>
        <v/>
      </c>
      <c r="E228" s="34"/>
      <c r="F228" s="34"/>
      <c r="G228" s="35" t="str">
        <f>IFERROR(IF(C228="REF. NÃO CADASTRADA NA TABELA","",IF($C$9="","",IF($F$9="","",IF(B228="","",IF($C$9=119,VLOOKUP(B228,'Tabela 130 '!$A$5:$T$2711,MATCH($F$9,'Tabela 130 '!$A$5:$T$5,0),FALSE),IF($C$9=553,VLOOKUP(B228,#REF!,MATCH($F$9,#REF!,0),FALSE),IF($C$9=552,VLOOKUP(B228,#REF!,MATCH($F$9,#REF!,0),FALSE),IF($C$9=551,VLOOKUP(B228,#REF!,MATCH($F$9,#REF!,0),FALSE))))))))),"REF. NÃO CADASTRADA NA TABELA")</f>
        <v/>
      </c>
      <c r="H228" s="36"/>
      <c r="I228" s="37" t="str">
        <f t="shared" si="0"/>
        <v/>
      </c>
      <c r="J228" s="33" t="str">
        <f t="shared" si="1"/>
        <v/>
      </c>
      <c r="K228" s="38" t="str">
        <f>IF($F$6="","",IF(B228="","",IF(C228="REF. NÃO CADASTRADA NA TABELA","",IFERROR(VLOOKUP(B228,#REF!,VLOOKUP($F$6,'BASE CONTÁBIL'!N:O,2,FALSE),FALSE),0))))</f>
        <v/>
      </c>
      <c r="L228" s="35" t="str">
        <f t="shared" si="2"/>
        <v/>
      </c>
      <c r="M228" s="35" t="str">
        <f t="shared" si="3"/>
        <v/>
      </c>
      <c r="N228" s="35" t="str">
        <f t="shared" si="4"/>
        <v/>
      </c>
      <c r="O228" s="35" t="str">
        <f t="shared" si="5"/>
        <v/>
      </c>
      <c r="P228" s="33" t="e">
        <f t="shared" si="6"/>
        <v>#REF!</v>
      </c>
      <c r="Q228" s="2"/>
      <c r="R228" s="2"/>
      <c r="S228" s="2"/>
      <c r="T228" s="2"/>
      <c r="U228" s="2"/>
    </row>
    <row r="229" spans="1:21" ht="12.75" customHeight="1" x14ac:dyDescent="0.2">
      <c r="A229" s="2"/>
      <c r="B229" s="31"/>
      <c r="C229" s="32" t="str">
        <f>IFERROR((IF(B229="","",IF($F$6="","Informar UF / Tabela / Prazo de Pagamento",IF($F$9="","Informar UF / Tabela / Prazo de Pagamento",IF($C$9="","Informar UF / Tabela / Prazo de Pagamento",VLOOKUP(B229,'Tabela 130 '!$A$5:$T$1001,2,FALSE)))))),"REF. NÃO CADASTRADA NA TABELA")</f>
        <v/>
      </c>
      <c r="D229" s="33" t="str">
        <f>IF('FOLHA DE PEDIDO '!B229="","",IF(C229="REF. NÃO CADASTRADA NA TABELA","",VLOOKUP(B229,'Tabela 130 '!$A$5:$AI$801,3,FALSE)))</f>
        <v/>
      </c>
      <c r="E229" s="34"/>
      <c r="F229" s="34"/>
      <c r="G229" s="35" t="str">
        <f>IFERROR(IF(C229="REF. NÃO CADASTRADA NA TABELA","",IF($C$9="","",IF($F$9="","",IF(B229="","",IF($C$9=119,VLOOKUP(B229,'Tabela 130 '!$A$5:$T$2711,MATCH($F$9,'Tabela 130 '!$A$5:$T$5,0),FALSE),IF($C$9=553,VLOOKUP(B229,#REF!,MATCH($F$9,#REF!,0),FALSE),IF($C$9=552,VLOOKUP(B229,#REF!,MATCH($F$9,#REF!,0),FALSE),IF($C$9=551,VLOOKUP(B229,#REF!,MATCH($F$9,#REF!,0),FALSE))))))))),"REF. NÃO CADASTRADA NA TABELA")</f>
        <v/>
      </c>
      <c r="H229" s="36"/>
      <c r="I229" s="37" t="str">
        <f t="shared" si="0"/>
        <v/>
      </c>
      <c r="J229" s="33" t="str">
        <f t="shared" si="1"/>
        <v/>
      </c>
      <c r="K229" s="38" t="str">
        <f>IF($F$6="","",IF(B229="","",IF(C229="REF. NÃO CADASTRADA NA TABELA","",IFERROR(VLOOKUP(B229,#REF!,VLOOKUP($F$6,'BASE CONTÁBIL'!N:O,2,FALSE),FALSE),0))))</f>
        <v/>
      </c>
      <c r="L229" s="35" t="str">
        <f t="shared" si="2"/>
        <v/>
      </c>
      <c r="M229" s="35" t="str">
        <f t="shared" si="3"/>
        <v/>
      </c>
      <c r="N229" s="35" t="str">
        <f t="shared" si="4"/>
        <v/>
      </c>
      <c r="O229" s="35" t="str">
        <f t="shared" si="5"/>
        <v/>
      </c>
      <c r="P229" s="33" t="e">
        <f t="shared" si="6"/>
        <v>#REF!</v>
      </c>
      <c r="Q229" s="2"/>
      <c r="R229" s="2"/>
      <c r="S229" s="2"/>
      <c r="T229" s="2"/>
      <c r="U229" s="2"/>
    </row>
    <row r="230" spans="1:21" ht="12.75" customHeight="1" x14ac:dyDescent="0.2">
      <c r="A230" s="2"/>
      <c r="B230" s="31"/>
      <c r="C230" s="32" t="str">
        <f>IFERROR((IF(B230="","",IF($F$6="","Informar UF / Tabela / Prazo de Pagamento",IF($F$9="","Informar UF / Tabela / Prazo de Pagamento",IF($C$9="","Informar UF / Tabela / Prazo de Pagamento",VLOOKUP(B230,'Tabela 130 '!$A$5:$T$1001,2,FALSE)))))),"REF. NÃO CADASTRADA NA TABELA")</f>
        <v/>
      </c>
      <c r="D230" s="33" t="str">
        <f>IF('FOLHA DE PEDIDO '!B230="","",IF(C230="REF. NÃO CADASTRADA NA TABELA","",VLOOKUP(B230,'Tabela 130 '!$A$5:$AI$801,3,FALSE)))</f>
        <v/>
      </c>
      <c r="E230" s="34"/>
      <c r="F230" s="34"/>
      <c r="G230" s="35" t="str">
        <f>IFERROR(IF(C230="REF. NÃO CADASTRADA NA TABELA","",IF($C$9="","",IF($F$9="","",IF(B230="","",IF($C$9=119,VLOOKUP(B230,'Tabela 130 '!$A$5:$T$2711,MATCH($F$9,'Tabela 130 '!$A$5:$T$5,0),FALSE),IF($C$9=553,VLOOKUP(B230,#REF!,MATCH($F$9,#REF!,0),FALSE),IF($C$9=552,VLOOKUP(B230,#REF!,MATCH($F$9,#REF!,0),FALSE),IF($C$9=551,VLOOKUP(B230,#REF!,MATCH($F$9,#REF!,0),FALSE))))))))),"REF. NÃO CADASTRADA NA TABELA")</f>
        <v/>
      </c>
      <c r="H230" s="36"/>
      <c r="I230" s="37" t="str">
        <f t="shared" si="0"/>
        <v/>
      </c>
      <c r="J230" s="33" t="str">
        <f t="shared" si="1"/>
        <v/>
      </c>
      <c r="K230" s="38" t="str">
        <f>IF($F$6="","",IF(B230="","",IF(C230="REF. NÃO CADASTRADA NA TABELA","",IFERROR(VLOOKUP(B230,#REF!,VLOOKUP($F$6,'BASE CONTÁBIL'!N:O,2,FALSE),FALSE),0))))</f>
        <v/>
      </c>
      <c r="L230" s="35" t="str">
        <f t="shared" si="2"/>
        <v/>
      </c>
      <c r="M230" s="35" t="str">
        <f t="shared" si="3"/>
        <v/>
      </c>
      <c r="N230" s="35" t="str">
        <f t="shared" si="4"/>
        <v/>
      </c>
      <c r="O230" s="35" t="str">
        <f t="shared" si="5"/>
        <v/>
      </c>
      <c r="P230" s="33" t="e">
        <f t="shared" si="6"/>
        <v>#REF!</v>
      </c>
      <c r="Q230" s="2"/>
      <c r="R230" s="2"/>
      <c r="S230" s="2"/>
      <c r="T230" s="2"/>
      <c r="U230" s="2"/>
    </row>
    <row r="231" spans="1:21" ht="12.75" customHeight="1" x14ac:dyDescent="0.2">
      <c r="A231" s="2"/>
      <c r="B231" s="31"/>
      <c r="C231" s="32" t="str">
        <f>IFERROR((IF(B231="","",IF($F$6="","Informar UF / Tabela / Prazo de Pagamento",IF($F$9="","Informar UF / Tabela / Prazo de Pagamento",IF($C$9="","Informar UF / Tabela / Prazo de Pagamento",VLOOKUP(B231,'Tabela 130 '!$A$5:$T$1001,2,FALSE)))))),"REF. NÃO CADASTRADA NA TABELA")</f>
        <v/>
      </c>
      <c r="D231" s="33" t="str">
        <f>IF('FOLHA DE PEDIDO '!B231="","",IF(C231="REF. NÃO CADASTRADA NA TABELA","",VLOOKUP(B231,'Tabela 130 '!$A$5:$AI$801,3,FALSE)))</f>
        <v/>
      </c>
      <c r="E231" s="34"/>
      <c r="F231" s="34"/>
      <c r="G231" s="35" t="str">
        <f>IFERROR(IF(C231="REF. NÃO CADASTRADA NA TABELA","",IF($C$9="","",IF($F$9="","",IF(B231="","",IF($C$9=119,VLOOKUP(B231,'Tabela 130 '!$A$5:$T$2711,MATCH($F$9,'Tabela 130 '!$A$5:$T$5,0),FALSE),IF($C$9=553,VLOOKUP(B231,#REF!,MATCH($F$9,#REF!,0),FALSE),IF($C$9=552,VLOOKUP(B231,#REF!,MATCH($F$9,#REF!,0),FALSE),IF($C$9=551,VLOOKUP(B231,#REF!,MATCH($F$9,#REF!,0),FALSE))))))))),"REF. NÃO CADASTRADA NA TABELA")</f>
        <v/>
      </c>
      <c r="H231" s="36"/>
      <c r="I231" s="37" t="str">
        <f t="shared" si="0"/>
        <v/>
      </c>
      <c r="J231" s="33" t="str">
        <f t="shared" si="1"/>
        <v/>
      </c>
      <c r="K231" s="38" t="str">
        <f>IF($F$6="","",IF(B231="","",IF(C231="REF. NÃO CADASTRADA NA TABELA","",IFERROR(VLOOKUP(B231,#REF!,VLOOKUP($F$6,'BASE CONTÁBIL'!N:O,2,FALSE),FALSE),0))))</f>
        <v/>
      </c>
      <c r="L231" s="35" t="str">
        <f t="shared" si="2"/>
        <v/>
      </c>
      <c r="M231" s="35" t="str">
        <f t="shared" si="3"/>
        <v/>
      </c>
      <c r="N231" s="35" t="str">
        <f t="shared" si="4"/>
        <v/>
      </c>
      <c r="O231" s="35" t="str">
        <f t="shared" si="5"/>
        <v/>
      </c>
      <c r="P231" s="33" t="e">
        <f t="shared" si="6"/>
        <v>#REF!</v>
      </c>
      <c r="Q231" s="2"/>
      <c r="R231" s="2"/>
      <c r="S231" s="2"/>
      <c r="T231" s="2"/>
      <c r="U231" s="2"/>
    </row>
    <row r="232" spans="1:21" ht="12.75" customHeight="1" x14ac:dyDescent="0.2">
      <c r="A232" s="2"/>
      <c r="B232" s="31"/>
      <c r="C232" s="32" t="str">
        <f>IFERROR((IF(B232="","",IF($F$6="","Informar UF / Tabela / Prazo de Pagamento",IF($F$9="","Informar UF / Tabela / Prazo de Pagamento",IF($C$9="","Informar UF / Tabela / Prazo de Pagamento",VLOOKUP(B232,'Tabela 130 '!$A$5:$T$1001,2,FALSE)))))),"REF. NÃO CADASTRADA NA TABELA")</f>
        <v/>
      </c>
      <c r="D232" s="33" t="str">
        <f>IF('FOLHA DE PEDIDO '!B232="","",IF(C232="REF. NÃO CADASTRADA NA TABELA","",VLOOKUP(B232,'Tabela 130 '!$A$5:$AI$801,3,FALSE)))</f>
        <v/>
      </c>
      <c r="E232" s="34"/>
      <c r="F232" s="34"/>
      <c r="G232" s="35" t="str">
        <f>IFERROR(IF(C232="REF. NÃO CADASTRADA NA TABELA","",IF($C$9="","",IF($F$9="","",IF(B232="","",IF($C$9=119,VLOOKUP(B232,'Tabela 130 '!$A$5:$T$2711,MATCH($F$9,'Tabela 130 '!$A$5:$T$5,0),FALSE),IF($C$9=553,VLOOKUP(B232,#REF!,MATCH($F$9,#REF!,0),FALSE),IF($C$9=552,VLOOKUP(B232,#REF!,MATCH($F$9,#REF!,0),FALSE),IF($C$9=551,VLOOKUP(B232,#REF!,MATCH($F$9,#REF!,0),FALSE))))))))),"REF. NÃO CADASTRADA NA TABELA")</f>
        <v/>
      </c>
      <c r="H232" s="36"/>
      <c r="I232" s="37" t="str">
        <f t="shared" si="0"/>
        <v/>
      </c>
      <c r="J232" s="33" t="str">
        <f t="shared" si="1"/>
        <v/>
      </c>
      <c r="K232" s="38" t="str">
        <f>IF($F$6="","",IF(B232="","",IF(C232="REF. NÃO CADASTRADA NA TABELA","",IFERROR(VLOOKUP(B232,#REF!,VLOOKUP($F$6,'BASE CONTÁBIL'!N:O,2,FALSE),FALSE),0))))</f>
        <v/>
      </c>
      <c r="L232" s="35" t="str">
        <f t="shared" si="2"/>
        <v/>
      </c>
      <c r="M232" s="35" t="str">
        <f t="shared" si="3"/>
        <v/>
      </c>
      <c r="N232" s="35" t="str">
        <f t="shared" si="4"/>
        <v/>
      </c>
      <c r="O232" s="35" t="str">
        <f t="shared" si="5"/>
        <v/>
      </c>
      <c r="P232" s="33" t="e">
        <f t="shared" si="6"/>
        <v>#REF!</v>
      </c>
      <c r="Q232" s="2"/>
      <c r="R232" s="2"/>
      <c r="S232" s="2"/>
      <c r="T232" s="2"/>
      <c r="U232" s="2"/>
    </row>
    <row r="233" spans="1:21" ht="12.75" customHeight="1" x14ac:dyDescent="0.2">
      <c r="A233" s="2"/>
      <c r="B233" s="31"/>
      <c r="C233" s="32" t="str">
        <f>IFERROR((IF(B233="","",IF($F$6="","Informar UF / Tabela / Prazo de Pagamento",IF($F$9="","Informar UF / Tabela / Prazo de Pagamento",IF($C$9="","Informar UF / Tabela / Prazo de Pagamento",VLOOKUP(B233,'Tabela 130 '!$A$5:$T$1001,2,FALSE)))))),"REF. NÃO CADASTRADA NA TABELA")</f>
        <v/>
      </c>
      <c r="D233" s="33" t="str">
        <f>IF('FOLHA DE PEDIDO '!B233="","",IF(C233="REF. NÃO CADASTRADA NA TABELA","",VLOOKUP(B233,'Tabela 130 '!$A$5:$AI$801,3,FALSE)))</f>
        <v/>
      </c>
      <c r="E233" s="34"/>
      <c r="F233" s="34"/>
      <c r="G233" s="35" t="str">
        <f>IFERROR(IF(C233="REF. NÃO CADASTRADA NA TABELA","",IF($C$9="","",IF($F$9="","",IF(B233="","",IF($C$9=119,VLOOKUP(B233,'Tabela 130 '!$A$5:$T$2711,MATCH($F$9,'Tabela 130 '!$A$5:$T$5,0),FALSE),IF($C$9=553,VLOOKUP(B233,#REF!,MATCH($F$9,#REF!,0),FALSE),IF($C$9=552,VLOOKUP(B233,#REF!,MATCH($F$9,#REF!,0),FALSE),IF($C$9=551,VLOOKUP(B233,#REF!,MATCH($F$9,#REF!,0),FALSE))))))))),"REF. NÃO CADASTRADA NA TABELA")</f>
        <v/>
      </c>
      <c r="H233" s="36"/>
      <c r="I233" s="37" t="str">
        <f t="shared" si="0"/>
        <v/>
      </c>
      <c r="J233" s="33" t="str">
        <f t="shared" si="1"/>
        <v/>
      </c>
      <c r="K233" s="38" t="str">
        <f>IF($F$6="","",IF(B233="","",IF(C233="REF. NÃO CADASTRADA NA TABELA","",IFERROR(VLOOKUP(B233,#REF!,VLOOKUP($F$6,'BASE CONTÁBIL'!N:O,2,FALSE),FALSE),0))))</f>
        <v/>
      </c>
      <c r="L233" s="35" t="str">
        <f t="shared" si="2"/>
        <v/>
      </c>
      <c r="M233" s="35" t="str">
        <f t="shared" si="3"/>
        <v/>
      </c>
      <c r="N233" s="35" t="str">
        <f t="shared" si="4"/>
        <v/>
      </c>
      <c r="O233" s="35" t="str">
        <f t="shared" si="5"/>
        <v/>
      </c>
      <c r="P233" s="33" t="e">
        <f t="shared" si="6"/>
        <v>#REF!</v>
      </c>
      <c r="Q233" s="2"/>
      <c r="R233" s="2"/>
      <c r="S233" s="2"/>
      <c r="T233" s="2"/>
      <c r="U233" s="2"/>
    </row>
    <row r="234" spans="1:21" ht="12.75" customHeight="1" x14ac:dyDescent="0.2">
      <c r="A234" s="2"/>
      <c r="B234" s="31"/>
      <c r="C234" s="32" t="str">
        <f>IFERROR((IF(B234="","",IF($F$6="","Informar UF / Tabela / Prazo de Pagamento",IF($F$9="","Informar UF / Tabela / Prazo de Pagamento",IF($C$9="","Informar UF / Tabela / Prazo de Pagamento",VLOOKUP(B234,'Tabela 130 '!$A$5:$T$1001,2,FALSE)))))),"REF. NÃO CADASTRADA NA TABELA")</f>
        <v/>
      </c>
      <c r="D234" s="33" t="str">
        <f>IF('FOLHA DE PEDIDO '!B234="","",IF(C234="REF. NÃO CADASTRADA NA TABELA","",VLOOKUP(B234,'Tabela 130 '!$A$5:$AI$801,3,FALSE)))</f>
        <v/>
      </c>
      <c r="E234" s="34"/>
      <c r="F234" s="34"/>
      <c r="G234" s="35" t="str">
        <f>IFERROR(IF(C234="REF. NÃO CADASTRADA NA TABELA","",IF($C$9="","",IF($F$9="","",IF(B234="","",IF($C$9=119,VLOOKUP(B234,'Tabela 130 '!$A$5:$T$2711,MATCH($F$9,'Tabela 130 '!$A$5:$T$5,0),FALSE),IF($C$9=553,VLOOKUP(B234,#REF!,MATCH($F$9,#REF!,0),FALSE),IF($C$9=552,VLOOKUP(B234,#REF!,MATCH($F$9,#REF!,0),FALSE),IF($C$9=551,VLOOKUP(B234,#REF!,MATCH($F$9,#REF!,0),FALSE))))))))),"REF. NÃO CADASTRADA NA TABELA")</f>
        <v/>
      </c>
      <c r="H234" s="36"/>
      <c r="I234" s="37" t="str">
        <f t="shared" si="0"/>
        <v/>
      </c>
      <c r="J234" s="33" t="str">
        <f t="shared" si="1"/>
        <v/>
      </c>
      <c r="K234" s="38" t="str">
        <f>IF($F$6="","",IF(B234="","",IF(C234="REF. NÃO CADASTRADA NA TABELA","",IFERROR(VLOOKUP(B234,#REF!,VLOOKUP($F$6,'BASE CONTÁBIL'!N:O,2,FALSE),FALSE),0))))</f>
        <v/>
      </c>
      <c r="L234" s="35" t="str">
        <f t="shared" si="2"/>
        <v/>
      </c>
      <c r="M234" s="35" t="str">
        <f t="shared" si="3"/>
        <v/>
      </c>
      <c r="N234" s="35" t="str">
        <f t="shared" si="4"/>
        <v/>
      </c>
      <c r="O234" s="35" t="str">
        <f t="shared" si="5"/>
        <v/>
      </c>
      <c r="P234" s="33" t="e">
        <f t="shared" si="6"/>
        <v>#REF!</v>
      </c>
      <c r="Q234" s="2"/>
      <c r="R234" s="2"/>
      <c r="S234" s="2"/>
      <c r="T234" s="2"/>
      <c r="U234" s="2"/>
    </row>
    <row r="235" spans="1:21" ht="12.75" customHeight="1" x14ac:dyDescent="0.2">
      <c r="A235" s="2"/>
      <c r="B235" s="31"/>
      <c r="C235" s="32" t="str">
        <f>IFERROR((IF(B235="","",IF($F$6="","Informar UF / Tabela / Prazo de Pagamento",IF($F$9="","Informar UF / Tabela / Prazo de Pagamento",IF($C$9="","Informar UF / Tabela / Prazo de Pagamento",VLOOKUP(B235,'Tabela 130 '!$A$5:$T$1001,2,FALSE)))))),"REF. NÃO CADASTRADA NA TABELA")</f>
        <v/>
      </c>
      <c r="D235" s="33" t="str">
        <f>IF('FOLHA DE PEDIDO '!B235="","",IF(C235="REF. NÃO CADASTRADA NA TABELA","",VLOOKUP(B235,'Tabela 130 '!$A$5:$AI$801,3,FALSE)))</f>
        <v/>
      </c>
      <c r="E235" s="34"/>
      <c r="F235" s="34"/>
      <c r="G235" s="35" t="str">
        <f>IFERROR(IF(C235="REF. NÃO CADASTRADA NA TABELA","",IF($C$9="","",IF($F$9="","",IF(B235="","",IF($C$9=119,VLOOKUP(B235,'Tabela 130 '!$A$5:$T$2711,MATCH($F$9,'Tabela 130 '!$A$5:$T$5,0),FALSE),IF($C$9=553,VLOOKUP(B235,#REF!,MATCH($F$9,#REF!,0),FALSE),IF($C$9=552,VLOOKUP(B235,#REF!,MATCH($F$9,#REF!,0),FALSE),IF($C$9=551,VLOOKUP(B235,#REF!,MATCH($F$9,#REF!,0),FALSE))))))))),"REF. NÃO CADASTRADA NA TABELA")</f>
        <v/>
      </c>
      <c r="H235" s="36"/>
      <c r="I235" s="37" t="str">
        <f t="shared" si="0"/>
        <v/>
      </c>
      <c r="J235" s="33" t="str">
        <f t="shared" si="1"/>
        <v/>
      </c>
      <c r="K235" s="38" t="str">
        <f>IF($F$6="","",IF(B235="","",IF(C235="REF. NÃO CADASTRADA NA TABELA","",IFERROR(VLOOKUP(B235,#REF!,VLOOKUP($F$6,'BASE CONTÁBIL'!N:O,2,FALSE),FALSE),0))))</f>
        <v/>
      </c>
      <c r="L235" s="35" t="str">
        <f t="shared" si="2"/>
        <v/>
      </c>
      <c r="M235" s="35" t="str">
        <f t="shared" si="3"/>
        <v/>
      </c>
      <c r="N235" s="35" t="str">
        <f t="shared" si="4"/>
        <v/>
      </c>
      <c r="O235" s="35" t="str">
        <f t="shared" si="5"/>
        <v/>
      </c>
      <c r="P235" s="33" t="e">
        <f t="shared" si="6"/>
        <v>#REF!</v>
      </c>
      <c r="Q235" s="2"/>
      <c r="R235" s="2"/>
      <c r="S235" s="2"/>
      <c r="T235" s="2"/>
      <c r="U235" s="2"/>
    </row>
    <row r="236" spans="1:21" ht="12.75" customHeight="1" x14ac:dyDescent="0.2">
      <c r="A236" s="2"/>
      <c r="B236" s="31"/>
      <c r="C236" s="32" t="str">
        <f>IFERROR((IF(B236="","",IF($F$6="","Informar UF / Tabela / Prazo de Pagamento",IF($F$9="","Informar UF / Tabela / Prazo de Pagamento",IF($C$9="","Informar UF / Tabela / Prazo de Pagamento",VLOOKUP(B236,'Tabela 130 '!$A$5:$T$1001,2,FALSE)))))),"REF. NÃO CADASTRADA NA TABELA")</f>
        <v/>
      </c>
      <c r="D236" s="33" t="str">
        <f>IF('FOLHA DE PEDIDO '!B236="","",IF(C236="REF. NÃO CADASTRADA NA TABELA","",VLOOKUP(B236,'Tabela 130 '!$A$5:$AI$801,3,FALSE)))</f>
        <v/>
      </c>
      <c r="E236" s="34"/>
      <c r="F236" s="34"/>
      <c r="G236" s="35" t="str">
        <f>IFERROR(IF(C236="REF. NÃO CADASTRADA NA TABELA","",IF($C$9="","",IF($F$9="","",IF(B236="","",IF($C$9=119,VLOOKUP(B236,'Tabela 130 '!$A$5:$T$2711,MATCH($F$9,'Tabela 130 '!$A$5:$T$5,0),FALSE),IF($C$9=553,VLOOKUP(B236,#REF!,MATCH($F$9,#REF!,0),FALSE),IF($C$9=552,VLOOKUP(B236,#REF!,MATCH($F$9,#REF!,0),FALSE),IF($C$9=551,VLOOKUP(B236,#REF!,MATCH($F$9,#REF!,0),FALSE))))))))),"REF. NÃO CADASTRADA NA TABELA")</f>
        <v/>
      </c>
      <c r="H236" s="36"/>
      <c r="I236" s="37" t="str">
        <f t="shared" si="0"/>
        <v/>
      </c>
      <c r="J236" s="33" t="str">
        <f t="shared" si="1"/>
        <v/>
      </c>
      <c r="K236" s="38" t="str">
        <f>IF($F$6="","",IF(B236="","",IF(C236="REF. NÃO CADASTRADA NA TABELA","",IFERROR(VLOOKUP(B236,#REF!,VLOOKUP($F$6,'BASE CONTÁBIL'!N:O,2,FALSE),FALSE),0))))</f>
        <v/>
      </c>
      <c r="L236" s="35" t="str">
        <f t="shared" si="2"/>
        <v/>
      </c>
      <c r="M236" s="35" t="str">
        <f t="shared" si="3"/>
        <v/>
      </c>
      <c r="N236" s="35" t="str">
        <f t="shared" si="4"/>
        <v/>
      </c>
      <c r="O236" s="35" t="str">
        <f t="shared" si="5"/>
        <v/>
      </c>
      <c r="P236" s="33" t="e">
        <f t="shared" si="6"/>
        <v>#REF!</v>
      </c>
      <c r="Q236" s="2"/>
      <c r="R236" s="2"/>
      <c r="S236" s="2"/>
      <c r="T236" s="2"/>
      <c r="U236" s="2"/>
    </row>
    <row r="237" spans="1:21" ht="12.75" customHeight="1" x14ac:dyDescent="0.2">
      <c r="A237" s="2"/>
      <c r="B237" s="31"/>
      <c r="C237" s="32" t="str">
        <f>IFERROR((IF(B237="","",IF($F$6="","Informar UF / Tabela / Prazo de Pagamento",IF($F$9="","Informar UF / Tabela / Prazo de Pagamento",IF($C$9="","Informar UF / Tabela / Prazo de Pagamento",VLOOKUP(B237,'Tabela 130 '!$A$5:$T$1001,2,FALSE)))))),"REF. NÃO CADASTRADA NA TABELA")</f>
        <v/>
      </c>
      <c r="D237" s="33" t="str">
        <f>IF('FOLHA DE PEDIDO '!B237="","",IF(C237="REF. NÃO CADASTRADA NA TABELA","",VLOOKUP(B237,'Tabela 130 '!$A$5:$AI$801,3,FALSE)))</f>
        <v/>
      </c>
      <c r="E237" s="34"/>
      <c r="F237" s="34"/>
      <c r="G237" s="35" t="str">
        <f>IFERROR(IF(C237="REF. NÃO CADASTRADA NA TABELA","",IF($C$9="","",IF($F$9="","",IF(B237="","",IF($C$9=119,VLOOKUP(B237,'Tabela 130 '!$A$5:$T$2711,MATCH($F$9,'Tabela 130 '!$A$5:$T$5,0),FALSE),IF($C$9=553,VLOOKUP(B237,#REF!,MATCH($F$9,#REF!,0),FALSE),IF($C$9=552,VLOOKUP(B237,#REF!,MATCH($F$9,#REF!,0),FALSE),IF($C$9=551,VLOOKUP(B237,#REF!,MATCH($F$9,#REF!,0),FALSE))))))))),"REF. NÃO CADASTRADA NA TABELA")</f>
        <v/>
      </c>
      <c r="H237" s="36"/>
      <c r="I237" s="37" t="str">
        <f t="shared" si="0"/>
        <v/>
      </c>
      <c r="J237" s="33" t="str">
        <f t="shared" si="1"/>
        <v/>
      </c>
      <c r="K237" s="38" t="str">
        <f>IF($F$6="","",IF(B237="","",IF(C237="REF. NÃO CADASTRADA NA TABELA","",IFERROR(VLOOKUP(B237,#REF!,VLOOKUP($F$6,'BASE CONTÁBIL'!N:O,2,FALSE),FALSE),0))))</f>
        <v/>
      </c>
      <c r="L237" s="35" t="str">
        <f t="shared" si="2"/>
        <v/>
      </c>
      <c r="M237" s="35" t="str">
        <f t="shared" si="3"/>
        <v/>
      </c>
      <c r="N237" s="35" t="str">
        <f t="shared" si="4"/>
        <v/>
      </c>
      <c r="O237" s="35" t="str">
        <f t="shared" si="5"/>
        <v/>
      </c>
      <c r="P237" s="33" t="e">
        <f t="shared" si="6"/>
        <v>#REF!</v>
      </c>
      <c r="Q237" s="2"/>
      <c r="R237" s="2"/>
      <c r="S237" s="2"/>
      <c r="T237" s="2"/>
      <c r="U237" s="2"/>
    </row>
    <row r="238" spans="1:21" ht="12.75" customHeight="1" x14ac:dyDescent="0.2">
      <c r="A238" s="2"/>
      <c r="B238" s="31"/>
      <c r="C238" s="32" t="str">
        <f>IFERROR((IF(B238="","",IF($F$6="","Informar UF / Tabela / Prazo de Pagamento",IF($F$9="","Informar UF / Tabela / Prazo de Pagamento",IF($C$9="","Informar UF / Tabela / Prazo de Pagamento",VLOOKUP(B238,'Tabela 130 '!$A$5:$T$1001,2,FALSE)))))),"REF. NÃO CADASTRADA NA TABELA")</f>
        <v/>
      </c>
      <c r="D238" s="33" t="str">
        <f>IF('FOLHA DE PEDIDO '!B238="","",IF(C238="REF. NÃO CADASTRADA NA TABELA","",VLOOKUP(B238,'Tabela 130 '!$A$5:$AI$801,3,FALSE)))</f>
        <v/>
      </c>
      <c r="E238" s="34"/>
      <c r="F238" s="34"/>
      <c r="G238" s="35" t="str">
        <f>IFERROR(IF(C238="REF. NÃO CADASTRADA NA TABELA","",IF($C$9="","",IF($F$9="","",IF(B238="","",IF($C$9=119,VLOOKUP(B238,'Tabela 130 '!$A$5:$T$2711,MATCH($F$9,'Tabela 130 '!$A$5:$T$5,0),FALSE),IF($C$9=553,VLOOKUP(B238,#REF!,MATCH($F$9,#REF!,0),FALSE),IF($C$9=552,VLOOKUP(B238,#REF!,MATCH($F$9,#REF!,0),FALSE),IF($C$9=551,VLOOKUP(B238,#REF!,MATCH($F$9,#REF!,0),FALSE))))))))),"REF. NÃO CADASTRADA NA TABELA")</f>
        <v/>
      </c>
      <c r="H238" s="36"/>
      <c r="I238" s="37" t="str">
        <f t="shared" si="0"/>
        <v/>
      </c>
      <c r="J238" s="33" t="str">
        <f t="shared" si="1"/>
        <v/>
      </c>
      <c r="K238" s="38" t="str">
        <f>IF($F$6="","",IF(B238="","",IF(C238="REF. NÃO CADASTRADA NA TABELA","",IFERROR(VLOOKUP(B238,#REF!,VLOOKUP($F$6,'BASE CONTÁBIL'!N:O,2,FALSE),FALSE),0))))</f>
        <v/>
      </c>
      <c r="L238" s="35" t="str">
        <f t="shared" si="2"/>
        <v/>
      </c>
      <c r="M238" s="35" t="str">
        <f t="shared" si="3"/>
        <v/>
      </c>
      <c r="N238" s="35" t="str">
        <f t="shared" si="4"/>
        <v/>
      </c>
      <c r="O238" s="35" t="str">
        <f t="shared" si="5"/>
        <v/>
      </c>
      <c r="P238" s="33" t="e">
        <f t="shared" si="6"/>
        <v>#REF!</v>
      </c>
      <c r="Q238" s="2"/>
      <c r="R238" s="2"/>
      <c r="S238" s="2"/>
      <c r="T238" s="2"/>
      <c r="U238" s="2"/>
    </row>
    <row r="239" spans="1:21" ht="12.75" customHeight="1" x14ac:dyDescent="0.2">
      <c r="A239" s="2"/>
      <c r="B239" s="31"/>
      <c r="C239" s="32" t="str">
        <f>IFERROR((IF(B239="","",IF($F$6="","Informar UF / Tabela / Prazo de Pagamento",IF($F$9="","Informar UF / Tabela / Prazo de Pagamento",IF($C$9="","Informar UF / Tabela / Prazo de Pagamento",VLOOKUP(B239,'Tabela 130 '!$A$5:$T$1001,2,FALSE)))))),"REF. NÃO CADASTRADA NA TABELA")</f>
        <v/>
      </c>
      <c r="D239" s="33" t="str">
        <f>IF('FOLHA DE PEDIDO '!B239="","",IF(C239="REF. NÃO CADASTRADA NA TABELA","",VLOOKUP(B239,'Tabela 130 '!$A$5:$AI$801,3,FALSE)))</f>
        <v/>
      </c>
      <c r="E239" s="34"/>
      <c r="F239" s="34"/>
      <c r="G239" s="35" t="str">
        <f>IFERROR(IF(C239="REF. NÃO CADASTRADA NA TABELA","",IF($C$9="","",IF($F$9="","",IF(B239="","",IF($C$9=119,VLOOKUP(B239,'Tabela 130 '!$A$5:$T$2711,MATCH($F$9,'Tabela 130 '!$A$5:$T$5,0),FALSE),IF($C$9=553,VLOOKUP(B239,#REF!,MATCH($F$9,#REF!,0),FALSE),IF($C$9=552,VLOOKUP(B239,#REF!,MATCH($F$9,#REF!,0),FALSE),IF($C$9=551,VLOOKUP(B239,#REF!,MATCH($F$9,#REF!,0),FALSE))))))))),"REF. NÃO CADASTRADA NA TABELA")</f>
        <v/>
      </c>
      <c r="H239" s="36"/>
      <c r="I239" s="37" t="str">
        <f t="shared" si="0"/>
        <v/>
      </c>
      <c r="J239" s="33" t="str">
        <f t="shared" si="1"/>
        <v/>
      </c>
      <c r="K239" s="38" t="str">
        <f>IF($F$6="","",IF(B239="","",IF(C239="REF. NÃO CADASTRADA NA TABELA","",IFERROR(VLOOKUP(B239,#REF!,VLOOKUP($F$6,'BASE CONTÁBIL'!N:O,2,FALSE),FALSE),0))))</f>
        <v/>
      </c>
      <c r="L239" s="35" t="str">
        <f t="shared" si="2"/>
        <v/>
      </c>
      <c r="M239" s="35" t="str">
        <f t="shared" si="3"/>
        <v/>
      </c>
      <c r="N239" s="35" t="str">
        <f t="shared" si="4"/>
        <v/>
      </c>
      <c r="O239" s="35" t="str">
        <f t="shared" si="5"/>
        <v/>
      </c>
      <c r="P239" s="33" t="e">
        <f t="shared" si="6"/>
        <v>#REF!</v>
      </c>
      <c r="Q239" s="2"/>
      <c r="R239" s="2"/>
      <c r="S239" s="2"/>
      <c r="T239" s="2"/>
      <c r="U239" s="2"/>
    </row>
    <row r="240" spans="1:21" ht="12.75" customHeight="1" x14ac:dyDescent="0.2">
      <c r="A240" s="2"/>
      <c r="B240" s="31"/>
      <c r="C240" s="32" t="str">
        <f>IFERROR((IF(B240="","",IF($F$6="","Informar UF / Tabela / Prazo de Pagamento",IF($F$9="","Informar UF / Tabela / Prazo de Pagamento",IF($C$9="","Informar UF / Tabela / Prazo de Pagamento",VLOOKUP(B240,'Tabela 130 '!$A$5:$T$1001,2,FALSE)))))),"REF. NÃO CADASTRADA NA TABELA")</f>
        <v/>
      </c>
      <c r="D240" s="33" t="str">
        <f>IF('FOLHA DE PEDIDO '!B240="","",IF(C240="REF. NÃO CADASTRADA NA TABELA","",VLOOKUP(B240,'Tabela 130 '!$A$5:$AI$801,3,FALSE)))</f>
        <v/>
      </c>
      <c r="E240" s="34"/>
      <c r="F240" s="34"/>
      <c r="G240" s="35" t="str">
        <f>IFERROR(IF(C240="REF. NÃO CADASTRADA NA TABELA","",IF($C$9="","",IF($F$9="","",IF(B240="","",IF($C$9=119,VLOOKUP(B240,'Tabela 130 '!$A$5:$T$2711,MATCH($F$9,'Tabela 130 '!$A$5:$T$5,0),FALSE),IF($C$9=553,VLOOKUP(B240,#REF!,MATCH($F$9,#REF!,0),FALSE),IF($C$9=552,VLOOKUP(B240,#REF!,MATCH($F$9,#REF!,0),FALSE),IF($C$9=551,VLOOKUP(B240,#REF!,MATCH($F$9,#REF!,0),FALSE))))))))),"REF. NÃO CADASTRADA NA TABELA")</f>
        <v/>
      </c>
      <c r="H240" s="36"/>
      <c r="I240" s="37" t="str">
        <f t="shared" si="0"/>
        <v/>
      </c>
      <c r="J240" s="33" t="str">
        <f t="shared" si="1"/>
        <v/>
      </c>
      <c r="K240" s="38" t="str">
        <f>IF($F$6="","",IF(B240="","",IF(C240="REF. NÃO CADASTRADA NA TABELA","",IFERROR(VLOOKUP(B240,#REF!,VLOOKUP($F$6,'BASE CONTÁBIL'!N:O,2,FALSE),FALSE),0))))</f>
        <v/>
      </c>
      <c r="L240" s="35" t="str">
        <f t="shared" si="2"/>
        <v/>
      </c>
      <c r="M240" s="35" t="str">
        <f t="shared" si="3"/>
        <v/>
      </c>
      <c r="N240" s="35" t="str">
        <f t="shared" si="4"/>
        <v/>
      </c>
      <c r="O240" s="35" t="str">
        <f t="shared" si="5"/>
        <v/>
      </c>
      <c r="P240" s="33" t="e">
        <f t="shared" si="6"/>
        <v>#REF!</v>
      </c>
      <c r="Q240" s="2"/>
      <c r="R240" s="2"/>
      <c r="S240" s="2"/>
      <c r="T240" s="2"/>
      <c r="U240" s="2"/>
    </row>
    <row r="241" spans="1:21" ht="12.75" customHeight="1" x14ac:dyDescent="0.2">
      <c r="A241" s="2"/>
      <c r="B241" s="31"/>
      <c r="C241" s="32" t="str">
        <f>IFERROR((IF(B241="","",IF($F$6="","Informar UF / Tabela / Prazo de Pagamento",IF($F$9="","Informar UF / Tabela / Prazo de Pagamento",IF($C$9="","Informar UF / Tabela / Prazo de Pagamento",VLOOKUP(B241,'Tabela 130 '!$A$5:$T$1001,2,FALSE)))))),"REF. NÃO CADASTRADA NA TABELA")</f>
        <v/>
      </c>
      <c r="D241" s="33" t="str">
        <f>IF('FOLHA DE PEDIDO '!B241="","",IF(C241="REF. NÃO CADASTRADA NA TABELA","",VLOOKUP(B241,'Tabela 130 '!$A$5:$AI$801,3,FALSE)))</f>
        <v/>
      </c>
      <c r="E241" s="34"/>
      <c r="F241" s="34"/>
      <c r="G241" s="35" t="str">
        <f>IFERROR(IF(C241="REF. NÃO CADASTRADA NA TABELA","",IF($C$9="","",IF($F$9="","",IF(B241="","",IF($C$9=119,VLOOKUP(B241,'Tabela 130 '!$A$5:$T$2711,MATCH($F$9,'Tabela 130 '!$A$5:$T$5,0),FALSE),IF($C$9=553,VLOOKUP(B241,#REF!,MATCH($F$9,#REF!,0),FALSE),IF($C$9=552,VLOOKUP(B241,#REF!,MATCH($F$9,#REF!,0),FALSE),IF($C$9=551,VLOOKUP(B241,#REF!,MATCH($F$9,#REF!,0),FALSE))))))))),"REF. NÃO CADASTRADA NA TABELA")</f>
        <v/>
      </c>
      <c r="H241" s="36"/>
      <c r="I241" s="37" t="str">
        <f t="shared" si="0"/>
        <v/>
      </c>
      <c r="J241" s="33" t="str">
        <f t="shared" si="1"/>
        <v/>
      </c>
      <c r="K241" s="38" t="str">
        <f>IF($F$6="","",IF(B241="","",IF(C241="REF. NÃO CADASTRADA NA TABELA","",IFERROR(VLOOKUP(B241,#REF!,VLOOKUP($F$6,'BASE CONTÁBIL'!N:O,2,FALSE),FALSE),0))))</f>
        <v/>
      </c>
      <c r="L241" s="35" t="str">
        <f t="shared" si="2"/>
        <v/>
      </c>
      <c r="M241" s="35" t="str">
        <f t="shared" si="3"/>
        <v/>
      </c>
      <c r="N241" s="35" t="str">
        <f t="shared" si="4"/>
        <v/>
      </c>
      <c r="O241" s="35" t="str">
        <f t="shared" si="5"/>
        <v/>
      </c>
      <c r="P241" s="33" t="e">
        <f t="shared" si="6"/>
        <v>#REF!</v>
      </c>
      <c r="Q241" s="2"/>
      <c r="R241" s="2"/>
      <c r="S241" s="2"/>
      <c r="T241" s="2"/>
      <c r="U241" s="2"/>
    </row>
    <row r="242" spans="1:21" ht="12.75" customHeight="1" x14ac:dyDescent="0.2">
      <c r="A242" s="2"/>
      <c r="B242" s="31"/>
      <c r="C242" s="32" t="str">
        <f>IFERROR((IF(B242="","",IF($F$6="","Informar UF / Tabela / Prazo de Pagamento",IF($F$9="","Informar UF / Tabela / Prazo de Pagamento",IF($C$9="","Informar UF / Tabela / Prazo de Pagamento",VLOOKUP(B242,'Tabela 130 '!$A$5:$T$1001,2,FALSE)))))),"REF. NÃO CADASTRADA NA TABELA")</f>
        <v/>
      </c>
      <c r="D242" s="33" t="str">
        <f>IF('FOLHA DE PEDIDO '!B242="","",IF(C242="REF. NÃO CADASTRADA NA TABELA","",VLOOKUP(B242,'Tabela 130 '!$A$5:$AI$801,3,FALSE)))</f>
        <v/>
      </c>
      <c r="E242" s="34"/>
      <c r="F242" s="34"/>
      <c r="G242" s="35" t="str">
        <f>IFERROR(IF(C242="REF. NÃO CADASTRADA NA TABELA","",IF($C$9="","",IF($F$9="","",IF(B242="","",IF($C$9=119,VLOOKUP(B242,'Tabela 130 '!$A$5:$T$2711,MATCH($F$9,'Tabela 130 '!$A$5:$T$5,0),FALSE),IF($C$9=553,VLOOKUP(B242,#REF!,MATCH($F$9,#REF!,0),FALSE),IF($C$9=552,VLOOKUP(B242,#REF!,MATCH($F$9,#REF!,0),FALSE),IF($C$9=551,VLOOKUP(B242,#REF!,MATCH($F$9,#REF!,0),FALSE))))))))),"REF. NÃO CADASTRADA NA TABELA")</f>
        <v/>
      </c>
      <c r="H242" s="36"/>
      <c r="I242" s="37" t="str">
        <f t="shared" si="0"/>
        <v/>
      </c>
      <c r="J242" s="33" t="str">
        <f t="shared" si="1"/>
        <v/>
      </c>
      <c r="K242" s="38" t="str">
        <f>IF($F$6="","",IF(B242="","",IF(C242="REF. NÃO CADASTRADA NA TABELA","",IFERROR(VLOOKUP(B242,#REF!,VLOOKUP($F$6,'BASE CONTÁBIL'!N:O,2,FALSE),FALSE),0))))</f>
        <v/>
      </c>
      <c r="L242" s="35" t="str">
        <f t="shared" si="2"/>
        <v/>
      </c>
      <c r="M242" s="35" t="str">
        <f t="shared" si="3"/>
        <v/>
      </c>
      <c r="N242" s="35" t="str">
        <f t="shared" si="4"/>
        <v/>
      </c>
      <c r="O242" s="35" t="str">
        <f t="shared" si="5"/>
        <v/>
      </c>
      <c r="P242" s="33" t="e">
        <f t="shared" si="6"/>
        <v>#REF!</v>
      </c>
      <c r="Q242" s="2"/>
      <c r="R242" s="2"/>
      <c r="S242" s="2"/>
      <c r="T242" s="2"/>
      <c r="U242" s="2"/>
    </row>
    <row r="243" spans="1:21" ht="12.75" customHeight="1" x14ac:dyDescent="0.2">
      <c r="A243" s="2"/>
      <c r="B243" s="31"/>
      <c r="C243" s="32" t="str">
        <f>IFERROR((IF(B243="","",IF($F$6="","Informar UF / Tabela / Prazo de Pagamento",IF($F$9="","Informar UF / Tabela / Prazo de Pagamento",IF($C$9="","Informar UF / Tabela / Prazo de Pagamento",VLOOKUP(B243,'Tabela 130 '!$A$5:$T$1001,2,FALSE)))))),"REF. NÃO CADASTRADA NA TABELA")</f>
        <v/>
      </c>
      <c r="D243" s="33" t="str">
        <f>IF('FOLHA DE PEDIDO '!B243="","",IF(C243="REF. NÃO CADASTRADA NA TABELA","",VLOOKUP(B243,'Tabela 130 '!$A$5:$AI$801,3,FALSE)))</f>
        <v/>
      </c>
      <c r="E243" s="34"/>
      <c r="F243" s="34"/>
      <c r="G243" s="35" t="str">
        <f>IFERROR(IF(C243="REF. NÃO CADASTRADA NA TABELA","",IF($C$9="","",IF($F$9="","",IF(B243="","",IF($C$9=119,VLOOKUP(B243,'Tabela 130 '!$A$5:$T$2711,MATCH($F$9,'Tabela 130 '!$A$5:$T$5,0),FALSE),IF($C$9=553,VLOOKUP(B243,#REF!,MATCH($F$9,#REF!,0),FALSE),IF($C$9=552,VLOOKUP(B243,#REF!,MATCH($F$9,#REF!,0),FALSE),IF($C$9=551,VLOOKUP(B243,#REF!,MATCH($F$9,#REF!,0),FALSE))))))))),"REF. NÃO CADASTRADA NA TABELA")</f>
        <v/>
      </c>
      <c r="H243" s="36"/>
      <c r="I243" s="37" t="str">
        <f t="shared" si="0"/>
        <v/>
      </c>
      <c r="J243" s="33" t="str">
        <f t="shared" si="1"/>
        <v/>
      </c>
      <c r="K243" s="38" t="str">
        <f>IF($F$6="","",IF(B243="","",IF(C243="REF. NÃO CADASTRADA NA TABELA","",IFERROR(VLOOKUP(B243,#REF!,VLOOKUP($F$6,'BASE CONTÁBIL'!N:O,2,FALSE),FALSE),0))))</f>
        <v/>
      </c>
      <c r="L243" s="35" t="str">
        <f t="shared" si="2"/>
        <v/>
      </c>
      <c r="M243" s="35" t="str">
        <f t="shared" si="3"/>
        <v/>
      </c>
      <c r="N243" s="35" t="str">
        <f t="shared" si="4"/>
        <v/>
      </c>
      <c r="O243" s="35" t="str">
        <f t="shared" si="5"/>
        <v/>
      </c>
      <c r="P243" s="33" t="e">
        <f t="shared" si="6"/>
        <v>#REF!</v>
      </c>
      <c r="Q243" s="2"/>
      <c r="R243" s="2"/>
      <c r="S243" s="2"/>
      <c r="T243" s="2"/>
      <c r="U243" s="2"/>
    </row>
    <row r="244" spans="1:21" ht="12.75" customHeight="1" x14ac:dyDescent="0.2">
      <c r="A244" s="2"/>
      <c r="B244" s="31"/>
      <c r="C244" s="32" t="str">
        <f>IFERROR((IF(B244="","",IF($F$6="","Informar UF / Tabela / Prazo de Pagamento",IF($F$9="","Informar UF / Tabela / Prazo de Pagamento",IF($C$9="","Informar UF / Tabela / Prazo de Pagamento",VLOOKUP(B244,'Tabela 130 '!$A$5:$T$1001,2,FALSE)))))),"REF. NÃO CADASTRADA NA TABELA")</f>
        <v/>
      </c>
      <c r="D244" s="33" t="str">
        <f>IF('FOLHA DE PEDIDO '!B244="","",IF(C244="REF. NÃO CADASTRADA NA TABELA","",VLOOKUP(B244,'Tabela 130 '!$A$5:$AI$801,3,FALSE)))</f>
        <v/>
      </c>
      <c r="E244" s="34"/>
      <c r="F244" s="34"/>
      <c r="G244" s="35" t="str">
        <f>IFERROR(IF(C244="REF. NÃO CADASTRADA NA TABELA","",IF($C$9="","",IF($F$9="","",IF(B244="","",IF($C$9=119,VLOOKUP(B244,'Tabela 130 '!$A$5:$T$2711,MATCH($F$9,'Tabela 130 '!$A$5:$T$5,0),FALSE),IF($C$9=553,VLOOKUP(B244,#REF!,MATCH($F$9,#REF!,0),FALSE),IF($C$9=552,VLOOKUP(B244,#REF!,MATCH($F$9,#REF!,0),FALSE),IF($C$9=551,VLOOKUP(B244,#REF!,MATCH($F$9,#REF!,0),FALSE))))))))),"REF. NÃO CADASTRADA NA TABELA")</f>
        <v/>
      </c>
      <c r="H244" s="36"/>
      <c r="I244" s="37" t="str">
        <f t="shared" si="0"/>
        <v/>
      </c>
      <c r="J244" s="33" t="str">
        <f t="shared" si="1"/>
        <v/>
      </c>
      <c r="K244" s="38" t="str">
        <f>IF($F$6="","",IF(B244="","",IF(C244="REF. NÃO CADASTRADA NA TABELA","",IFERROR(VLOOKUP(B244,#REF!,VLOOKUP($F$6,'BASE CONTÁBIL'!N:O,2,FALSE),FALSE),0))))</f>
        <v/>
      </c>
      <c r="L244" s="35" t="str">
        <f t="shared" si="2"/>
        <v/>
      </c>
      <c r="M244" s="35" t="str">
        <f t="shared" si="3"/>
        <v/>
      </c>
      <c r="N244" s="35" t="str">
        <f t="shared" si="4"/>
        <v/>
      </c>
      <c r="O244" s="35" t="str">
        <f t="shared" si="5"/>
        <v/>
      </c>
      <c r="P244" s="33" t="e">
        <f t="shared" si="6"/>
        <v>#REF!</v>
      </c>
      <c r="Q244" s="2"/>
      <c r="R244" s="2"/>
      <c r="S244" s="2"/>
      <c r="T244" s="2"/>
      <c r="U244" s="2"/>
    </row>
    <row r="245" spans="1:21" ht="12.75" customHeight="1" x14ac:dyDescent="0.2">
      <c r="A245" s="2"/>
      <c r="B245" s="31"/>
      <c r="C245" s="32" t="str">
        <f>IFERROR((IF(B245="","",IF($F$6="","Informar UF / Tabela / Prazo de Pagamento",IF($F$9="","Informar UF / Tabela / Prazo de Pagamento",IF($C$9="","Informar UF / Tabela / Prazo de Pagamento",VLOOKUP(B245,'Tabela 130 '!$A$5:$T$1001,2,FALSE)))))),"REF. NÃO CADASTRADA NA TABELA")</f>
        <v/>
      </c>
      <c r="D245" s="33" t="str">
        <f>IF('FOLHA DE PEDIDO '!B245="","",IF(C245="REF. NÃO CADASTRADA NA TABELA","",VLOOKUP(B245,'Tabela 130 '!$A$5:$AI$801,3,FALSE)))</f>
        <v/>
      </c>
      <c r="E245" s="34"/>
      <c r="F245" s="34"/>
      <c r="G245" s="35" t="str">
        <f>IFERROR(IF(C245="REF. NÃO CADASTRADA NA TABELA","",IF($C$9="","",IF($F$9="","",IF(B245="","",IF($C$9=119,VLOOKUP(B245,'Tabela 130 '!$A$5:$T$2711,MATCH($F$9,'Tabela 130 '!$A$5:$T$5,0),FALSE),IF($C$9=553,VLOOKUP(B245,#REF!,MATCH($F$9,#REF!,0),FALSE),IF($C$9=552,VLOOKUP(B245,#REF!,MATCH($F$9,#REF!,0),FALSE),IF($C$9=551,VLOOKUP(B245,#REF!,MATCH($F$9,#REF!,0),FALSE))))))))),"REF. NÃO CADASTRADA NA TABELA")</f>
        <v/>
      </c>
      <c r="H245" s="36"/>
      <c r="I245" s="37" t="str">
        <f t="shared" si="0"/>
        <v/>
      </c>
      <c r="J245" s="33" t="str">
        <f t="shared" si="1"/>
        <v/>
      </c>
      <c r="K245" s="38" t="str">
        <f>IF($F$6="","",IF(B245="","",IF(C245="REF. NÃO CADASTRADA NA TABELA","",IFERROR(VLOOKUP(B245,#REF!,VLOOKUP($F$6,'BASE CONTÁBIL'!N:O,2,FALSE),FALSE),0))))</f>
        <v/>
      </c>
      <c r="L245" s="35" t="str">
        <f t="shared" si="2"/>
        <v/>
      </c>
      <c r="M245" s="35" t="str">
        <f t="shared" si="3"/>
        <v/>
      </c>
      <c r="N245" s="35" t="str">
        <f t="shared" si="4"/>
        <v/>
      </c>
      <c r="O245" s="35" t="str">
        <f t="shared" si="5"/>
        <v/>
      </c>
      <c r="P245" s="33" t="e">
        <f t="shared" si="6"/>
        <v>#REF!</v>
      </c>
      <c r="Q245" s="2"/>
      <c r="R245" s="2"/>
      <c r="S245" s="2"/>
      <c r="T245" s="2"/>
      <c r="U245" s="2"/>
    </row>
    <row r="246" spans="1:21" ht="12.75" customHeight="1" x14ac:dyDescent="0.2">
      <c r="A246" s="2"/>
      <c r="B246" s="31"/>
      <c r="C246" s="32" t="str">
        <f>IFERROR((IF(B246="","",IF($F$6="","Informar UF / Tabela / Prazo de Pagamento",IF($F$9="","Informar UF / Tabela / Prazo de Pagamento",IF($C$9="","Informar UF / Tabela / Prazo de Pagamento",VLOOKUP(B246,'Tabela 130 '!$A$5:$T$1001,2,FALSE)))))),"REF. NÃO CADASTRADA NA TABELA")</f>
        <v/>
      </c>
      <c r="D246" s="33" t="str">
        <f>IF('FOLHA DE PEDIDO '!B246="","",IF(C246="REF. NÃO CADASTRADA NA TABELA","",VLOOKUP(B246,'Tabela 130 '!$A$5:$AI$801,3,FALSE)))</f>
        <v/>
      </c>
      <c r="E246" s="34"/>
      <c r="F246" s="34"/>
      <c r="G246" s="35" t="str">
        <f>IFERROR(IF(C246="REF. NÃO CADASTRADA NA TABELA","",IF($C$9="","",IF($F$9="","",IF(B246="","",IF($C$9=119,VLOOKUP(B246,'Tabela 130 '!$A$5:$T$2711,MATCH($F$9,'Tabela 130 '!$A$5:$T$5,0),FALSE),IF($C$9=553,VLOOKUP(B246,#REF!,MATCH($F$9,#REF!,0),FALSE),IF($C$9=552,VLOOKUP(B246,#REF!,MATCH($F$9,#REF!,0),FALSE),IF($C$9=551,VLOOKUP(B246,#REF!,MATCH($F$9,#REF!,0),FALSE))))))))),"REF. NÃO CADASTRADA NA TABELA")</f>
        <v/>
      </c>
      <c r="H246" s="36"/>
      <c r="I246" s="37" t="str">
        <f t="shared" si="0"/>
        <v/>
      </c>
      <c r="J246" s="33" t="str">
        <f t="shared" si="1"/>
        <v/>
      </c>
      <c r="K246" s="38" t="str">
        <f>IF($F$6="","",IF(B246="","",IF(C246="REF. NÃO CADASTRADA NA TABELA","",IFERROR(VLOOKUP(B246,#REF!,VLOOKUP($F$6,'BASE CONTÁBIL'!N:O,2,FALSE),FALSE),0))))</f>
        <v/>
      </c>
      <c r="L246" s="35" t="str">
        <f t="shared" si="2"/>
        <v/>
      </c>
      <c r="M246" s="35" t="str">
        <f t="shared" si="3"/>
        <v/>
      </c>
      <c r="N246" s="35" t="str">
        <f t="shared" si="4"/>
        <v/>
      </c>
      <c r="O246" s="35" t="str">
        <f t="shared" si="5"/>
        <v/>
      </c>
      <c r="P246" s="33" t="e">
        <f t="shared" si="6"/>
        <v>#REF!</v>
      </c>
      <c r="Q246" s="2"/>
      <c r="R246" s="2"/>
      <c r="S246" s="2"/>
      <c r="T246" s="2"/>
      <c r="U246" s="2"/>
    </row>
    <row r="247" spans="1:21" ht="12.75" customHeight="1" x14ac:dyDescent="0.2">
      <c r="A247" s="2"/>
      <c r="B247" s="31"/>
      <c r="C247" s="32" t="str">
        <f>IFERROR((IF(B247="","",IF($F$6="","Informar UF / Tabela / Prazo de Pagamento",IF($F$9="","Informar UF / Tabela / Prazo de Pagamento",IF($C$9="","Informar UF / Tabela / Prazo de Pagamento",VLOOKUP(B247,'Tabela 130 '!$A$5:$T$1001,2,FALSE)))))),"REF. NÃO CADASTRADA NA TABELA")</f>
        <v/>
      </c>
      <c r="D247" s="33" t="str">
        <f>IF('FOLHA DE PEDIDO '!B247="","",IF(C247="REF. NÃO CADASTRADA NA TABELA","",VLOOKUP(B247,'Tabela 130 '!$A$5:$AI$801,3,FALSE)))</f>
        <v/>
      </c>
      <c r="E247" s="34"/>
      <c r="F247" s="34"/>
      <c r="G247" s="35" t="str">
        <f>IFERROR(IF(C247="REF. NÃO CADASTRADA NA TABELA","",IF($C$9="","",IF($F$9="","",IF(B247="","",IF($C$9=119,VLOOKUP(B247,'Tabela 130 '!$A$5:$T$2711,MATCH($F$9,'Tabela 130 '!$A$5:$T$5,0),FALSE),IF($C$9=553,VLOOKUP(B247,#REF!,MATCH($F$9,#REF!,0),FALSE),IF($C$9=552,VLOOKUP(B247,#REF!,MATCH($F$9,#REF!,0),FALSE),IF($C$9=551,VLOOKUP(B247,#REF!,MATCH($F$9,#REF!,0),FALSE))))))))),"REF. NÃO CADASTRADA NA TABELA")</f>
        <v/>
      </c>
      <c r="H247" s="36"/>
      <c r="I247" s="37" t="str">
        <f t="shared" si="0"/>
        <v/>
      </c>
      <c r="J247" s="33" t="str">
        <f t="shared" si="1"/>
        <v/>
      </c>
      <c r="K247" s="38" t="str">
        <f>IF($F$6="","",IF(B247="","",IF(C247="REF. NÃO CADASTRADA NA TABELA","",IFERROR(VLOOKUP(B247,#REF!,VLOOKUP($F$6,'BASE CONTÁBIL'!N:O,2,FALSE),FALSE),0))))</f>
        <v/>
      </c>
      <c r="L247" s="35" t="str">
        <f t="shared" si="2"/>
        <v/>
      </c>
      <c r="M247" s="35" t="str">
        <f t="shared" si="3"/>
        <v/>
      </c>
      <c r="N247" s="35" t="str">
        <f t="shared" si="4"/>
        <v/>
      </c>
      <c r="O247" s="35" t="str">
        <f t="shared" si="5"/>
        <v/>
      </c>
      <c r="P247" s="33" t="e">
        <f t="shared" si="6"/>
        <v>#REF!</v>
      </c>
      <c r="Q247" s="2"/>
      <c r="R247" s="2"/>
      <c r="S247" s="2"/>
      <c r="T247" s="2"/>
      <c r="U247" s="2"/>
    </row>
    <row r="248" spans="1:21" ht="12.75" customHeight="1" x14ac:dyDescent="0.2">
      <c r="A248" s="2"/>
      <c r="B248" s="31"/>
      <c r="C248" s="32" t="str">
        <f>IFERROR((IF(B248="","",IF($F$6="","Informar UF / Tabela / Prazo de Pagamento",IF($F$9="","Informar UF / Tabela / Prazo de Pagamento",IF($C$9="","Informar UF / Tabela / Prazo de Pagamento",VLOOKUP(B248,'Tabela 130 '!$A$5:$T$1001,2,FALSE)))))),"REF. NÃO CADASTRADA NA TABELA")</f>
        <v/>
      </c>
      <c r="D248" s="33" t="str">
        <f>IF('FOLHA DE PEDIDO '!B248="","",IF(C248="REF. NÃO CADASTRADA NA TABELA","",VLOOKUP(B248,'Tabela 130 '!$A$5:$AI$801,3,FALSE)))</f>
        <v/>
      </c>
      <c r="E248" s="34"/>
      <c r="F248" s="34"/>
      <c r="G248" s="35" t="str">
        <f>IFERROR(IF(C248="REF. NÃO CADASTRADA NA TABELA","",IF($C$9="","",IF($F$9="","",IF(B248="","",IF($C$9=119,VLOOKUP(B248,'Tabela 130 '!$A$5:$T$2711,MATCH($F$9,'Tabela 130 '!$A$5:$T$5,0),FALSE),IF($C$9=553,VLOOKUP(B248,#REF!,MATCH($F$9,#REF!,0),FALSE),IF($C$9=552,VLOOKUP(B248,#REF!,MATCH($F$9,#REF!,0),FALSE),IF($C$9=551,VLOOKUP(B248,#REF!,MATCH($F$9,#REF!,0),FALSE))))))))),"REF. NÃO CADASTRADA NA TABELA")</f>
        <v/>
      </c>
      <c r="H248" s="36"/>
      <c r="I248" s="37" t="str">
        <f t="shared" si="0"/>
        <v/>
      </c>
      <c r="J248" s="33" t="str">
        <f t="shared" si="1"/>
        <v/>
      </c>
      <c r="K248" s="38" t="str">
        <f>IF($F$6="","",IF(B248="","",IF(C248="REF. NÃO CADASTRADA NA TABELA","",IFERROR(VLOOKUP(B248,#REF!,VLOOKUP($F$6,'BASE CONTÁBIL'!N:O,2,FALSE),FALSE),0))))</f>
        <v/>
      </c>
      <c r="L248" s="35" t="str">
        <f t="shared" si="2"/>
        <v/>
      </c>
      <c r="M248" s="35" t="str">
        <f t="shared" si="3"/>
        <v/>
      </c>
      <c r="N248" s="35" t="str">
        <f t="shared" si="4"/>
        <v/>
      </c>
      <c r="O248" s="35" t="str">
        <f t="shared" si="5"/>
        <v/>
      </c>
      <c r="P248" s="33" t="e">
        <f t="shared" si="6"/>
        <v>#REF!</v>
      </c>
      <c r="Q248" s="2"/>
      <c r="R248" s="2"/>
      <c r="S248" s="2"/>
      <c r="T248" s="2"/>
      <c r="U248" s="2"/>
    </row>
    <row r="249" spans="1:21" ht="12.75" customHeight="1" x14ac:dyDescent="0.2">
      <c r="A249" s="2"/>
      <c r="B249" s="31"/>
      <c r="C249" s="32" t="str">
        <f>IFERROR((IF(B249="","",IF($F$6="","Informar UF / Tabela / Prazo de Pagamento",IF($F$9="","Informar UF / Tabela / Prazo de Pagamento",IF($C$9="","Informar UF / Tabela / Prazo de Pagamento",VLOOKUP(B249,'Tabela 130 '!$A$5:$T$1001,2,FALSE)))))),"REF. NÃO CADASTRADA NA TABELA")</f>
        <v/>
      </c>
      <c r="D249" s="33" t="str">
        <f>IF('FOLHA DE PEDIDO '!B249="","",IF(C249="REF. NÃO CADASTRADA NA TABELA","",VLOOKUP(B249,'Tabela 130 '!$A$5:$AI$801,3,FALSE)))</f>
        <v/>
      </c>
      <c r="E249" s="34"/>
      <c r="F249" s="34"/>
      <c r="G249" s="35" t="str">
        <f>IFERROR(IF(C249="REF. NÃO CADASTRADA NA TABELA","",IF($C$9="","",IF($F$9="","",IF(B249="","",IF($C$9=119,VLOOKUP(B249,'Tabela 130 '!$A$5:$T$2711,MATCH($F$9,'Tabela 130 '!$A$5:$T$5,0),FALSE),IF($C$9=553,VLOOKUP(B249,#REF!,MATCH($F$9,#REF!,0),FALSE),IF($C$9=552,VLOOKUP(B249,#REF!,MATCH($F$9,#REF!,0),FALSE),IF($C$9=551,VLOOKUP(B249,#REF!,MATCH($F$9,#REF!,0),FALSE))))))))),"REF. NÃO CADASTRADA NA TABELA")</f>
        <v/>
      </c>
      <c r="H249" s="36"/>
      <c r="I249" s="37" t="str">
        <f t="shared" si="0"/>
        <v/>
      </c>
      <c r="J249" s="33" t="str">
        <f t="shared" si="1"/>
        <v/>
      </c>
      <c r="K249" s="38" t="str">
        <f>IF($F$6="","",IF(B249="","",IF(C249="REF. NÃO CADASTRADA NA TABELA","",IFERROR(VLOOKUP(B249,#REF!,VLOOKUP($F$6,'BASE CONTÁBIL'!N:O,2,FALSE),FALSE),0))))</f>
        <v/>
      </c>
      <c r="L249" s="35" t="str">
        <f t="shared" si="2"/>
        <v/>
      </c>
      <c r="M249" s="35" t="str">
        <f t="shared" si="3"/>
        <v/>
      </c>
      <c r="N249" s="35" t="str">
        <f t="shared" si="4"/>
        <v/>
      </c>
      <c r="O249" s="35" t="str">
        <f t="shared" si="5"/>
        <v/>
      </c>
      <c r="P249" s="33" t="e">
        <f t="shared" si="6"/>
        <v>#REF!</v>
      </c>
      <c r="Q249" s="2"/>
      <c r="R249" s="2"/>
      <c r="S249" s="2"/>
      <c r="T249" s="2"/>
      <c r="U249" s="2"/>
    </row>
    <row r="250" spans="1:21" ht="12.75" customHeight="1" x14ac:dyDescent="0.2">
      <c r="A250" s="2"/>
      <c r="B250" s="31"/>
      <c r="C250" s="32" t="str">
        <f>IFERROR((IF(B250="","",IF($F$6="","Informar UF / Tabela / Prazo de Pagamento",IF($F$9="","Informar UF / Tabela / Prazo de Pagamento",IF($C$9="","Informar UF / Tabela / Prazo de Pagamento",VLOOKUP(B250,'Tabela 130 '!$A$5:$T$1001,2,FALSE)))))),"REF. NÃO CADASTRADA NA TABELA")</f>
        <v/>
      </c>
      <c r="D250" s="33" t="str">
        <f>IF('FOLHA DE PEDIDO '!B250="","",IF(C250="REF. NÃO CADASTRADA NA TABELA","",VLOOKUP(B250,'Tabela 130 '!$A$5:$AI$801,3,FALSE)))</f>
        <v/>
      </c>
      <c r="E250" s="34"/>
      <c r="F250" s="34"/>
      <c r="G250" s="35" t="str">
        <f>IFERROR(IF(C250="REF. NÃO CADASTRADA NA TABELA","",IF($C$9="","",IF($F$9="","",IF(B250="","",IF($C$9=119,VLOOKUP(B250,'Tabela 130 '!$A$5:$T$2711,MATCH($F$9,'Tabela 130 '!$A$5:$T$5,0),FALSE),IF($C$9=553,VLOOKUP(B250,#REF!,MATCH($F$9,#REF!,0),FALSE),IF($C$9=552,VLOOKUP(B250,#REF!,MATCH($F$9,#REF!,0),FALSE),IF($C$9=551,VLOOKUP(B250,#REF!,MATCH($F$9,#REF!,0),FALSE))))))))),"REF. NÃO CADASTRADA NA TABELA")</f>
        <v/>
      </c>
      <c r="H250" s="36"/>
      <c r="I250" s="37" t="str">
        <f t="shared" si="0"/>
        <v/>
      </c>
      <c r="J250" s="33" t="str">
        <f t="shared" si="1"/>
        <v/>
      </c>
      <c r="K250" s="38" t="str">
        <f>IF($F$6="","",IF(B250="","",IF(C250="REF. NÃO CADASTRADA NA TABELA","",IFERROR(VLOOKUP(B250,#REF!,VLOOKUP($F$6,'BASE CONTÁBIL'!N:O,2,FALSE),FALSE),0))))</f>
        <v/>
      </c>
      <c r="L250" s="35" t="str">
        <f t="shared" si="2"/>
        <v/>
      </c>
      <c r="M250" s="35" t="str">
        <f t="shared" si="3"/>
        <v/>
      </c>
      <c r="N250" s="35" t="str">
        <f t="shared" si="4"/>
        <v/>
      </c>
      <c r="O250" s="35" t="str">
        <f t="shared" si="5"/>
        <v/>
      </c>
      <c r="P250" s="33" t="e">
        <f t="shared" si="6"/>
        <v>#REF!</v>
      </c>
      <c r="Q250" s="2"/>
      <c r="R250" s="2"/>
      <c r="S250" s="2"/>
      <c r="T250" s="2"/>
      <c r="U250" s="2"/>
    </row>
    <row r="251" spans="1:21" ht="12.75" customHeight="1" x14ac:dyDescent="0.2">
      <c r="A251" s="2"/>
      <c r="B251" s="31"/>
      <c r="C251" s="32" t="str">
        <f>IFERROR((IF(B251="","",IF($F$6="","Informar UF / Tabela / Prazo de Pagamento",IF($F$9="","Informar UF / Tabela / Prazo de Pagamento",IF($C$9="","Informar UF / Tabela / Prazo de Pagamento",VLOOKUP(B251,'Tabela 130 '!$A$5:$T$1001,2,FALSE)))))),"REF. NÃO CADASTRADA NA TABELA")</f>
        <v/>
      </c>
      <c r="D251" s="33" t="str">
        <f>IF('FOLHA DE PEDIDO '!B251="","",IF(C251="REF. NÃO CADASTRADA NA TABELA","",VLOOKUP(B251,'Tabela 130 '!$A$5:$AI$801,3,FALSE)))</f>
        <v/>
      </c>
      <c r="E251" s="34"/>
      <c r="F251" s="34"/>
      <c r="G251" s="35" t="str">
        <f>IFERROR(IF(C251="REF. NÃO CADASTRADA NA TABELA","",IF($C$9="","",IF($F$9="","",IF(B251="","",IF($C$9=119,VLOOKUP(B251,'Tabela 130 '!$A$5:$T$2711,MATCH($F$9,'Tabela 130 '!$A$5:$T$5,0),FALSE),IF($C$9=553,VLOOKUP(B251,#REF!,MATCH($F$9,#REF!,0),FALSE),IF($C$9=552,VLOOKUP(B251,#REF!,MATCH($F$9,#REF!,0),FALSE),IF($C$9=551,VLOOKUP(B251,#REF!,MATCH($F$9,#REF!,0),FALSE))))))))),"REF. NÃO CADASTRADA NA TABELA")</f>
        <v/>
      </c>
      <c r="H251" s="36"/>
      <c r="I251" s="37" t="str">
        <f t="shared" si="0"/>
        <v/>
      </c>
      <c r="J251" s="33" t="str">
        <f t="shared" si="1"/>
        <v/>
      </c>
      <c r="K251" s="38" t="str">
        <f>IF($F$6="","",IF(B251="","",IF(C251="REF. NÃO CADASTRADA NA TABELA","",IFERROR(VLOOKUP(B251,#REF!,VLOOKUP($F$6,'BASE CONTÁBIL'!N:O,2,FALSE),FALSE),0))))</f>
        <v/>
      </c>
      <c r="L251" s="35" t="str">
        <f t="shared" si="2"/>
        <v/>
      </c>
      <c r="M251" s="35" t="str">
        <f t="shared" si="3"/>
        <v/>
      </c>
      <c r="N251" s="35" t="str">
        <f t="shared" si="4"/>
        <v/>
      </c>
      <c r="O251" s="35" t="str">
        <f t="shared" si="5"/>
        <v/>
      </c>
      <c r="P251" s="33" t="e">
        <f t="shared" si="6"/>
        <v>#REF!</v>
      </c>
      <c r="Q251" s="2"/>
      <c r="R251" s="2"/>
      <c r="S251" s="2"/>
      <c r="T251" s="2"/>
      <c r="U251" s="2"/>
    </row>
    <row r="252" spans="1:21" ht="12.75" customHeight="1" x14ac:dyDescent="0.2">
      <c r="A252" s="2"/>
      <c r="B252" s="31"/>
      <c r="C252" s="32" t="str">
        <f>IFERROR((IF(B252="","",IF($F$6="","Informar UF / Tabela / Prazo de Pagamento",IF($F$9="","Informar UF / Tabela / Prazo de Pagamento",IF($C$9="","Informar UF / Tabela / Prazo de Pagamento",VLOOKUP(B252,'Tabela 130 '!$A$5:$T$1001,2,FALSE)))))),"REF. NÃO CADASTRADA NA TABELA")</f>
        <v/>
      </c>
      <c r="D252" s="33" t="str">
        <f>IF('FOLHA DE PEDIDO '!B252="","",IF(C252="REF. NÃO CADASTRADA NA TABELA","",VLOOKUP(B252,'Tabela 130 '!$A$5:$AI$801,3,FALSE)))</f>
        <v/>
      </c>
      <c r="E252" s="34"/>
      <c r="F252" s="34"/>
      <c r="G252" s="35" t="str">
        <f>IFERROR(IF(C252="REF. NÃO CADASTRADA NA TABELA","",IF($C$9="","",IF($F$9="","",IF(B252="","",IF($C$9=119,VLOOKUP(B252,'Tabela 130 '!$A$5:$T$2711,MATCH($F$9,'Tabela 130 '!$A$5:$T$5,0),FALSE),IF($C$9=553,VLOOKUP(B252,#REF!,MATCH($F$9,#REF!,0),FALSE),IF($C$9=552,VLOOKUP(B252,#REF!,MATCH($F$9,#REF!,0),FALSE),IF($C$9=551,VLOOKUP(B252,#REF!,MATCH($F$9,#REF!,0),FALSE))))))))),"REF. NÃO CADASTRADA NA TABELA")</f>
        <v/>
      </c>
      <c r="H252" s="36"/>
      <c r="I252" s="37" t="str">
        <f t="shared" si="0"/>
        <v/>
      </c>
      <c r="J252" s="33" t="str">
        <f t="shared" si="1"/>
        <v/>
      </c>
      <c r="K252" s="38" t="str">
        <f>IF($F$6="","",IF(B252="","",IF(C252="REF. NÃO CADASTRADA NA TABELA","",IFERROR(VLOOKUP(B252,#REF!,VLOOKUP($F$6,'BASE CONTÁBIL'!N:O,2,FALSE),FALSE),0))))</f>
        <v/>
      </c>
      <c r="L252" s="35" t="str">
        <f t="shared" si="2"/>
        <v/>
      </c>
      <c r="M252" s="35" t="str">
        <f t="shared" si="3"/>
        <v/>
      </c>
      <c r="N252" s="35" t="str">
        <f t="shared" si="4"/>
        <v/>
      </c>
      <c r="O252" s="35" t="str">
        <f t="shared" si="5"/>
        <v/>
      </c>
      <c r="P252" s="33" t="e">
        <f t="shared" si="6"/>
        <v>#REF!</v>
      </c>
      <c r="Q252" s="2"/>
      <c r="R252" s="2"/>
      <c r="S252" s="2"/>
      <c r="T252" s="2"/>
      <c r="U252" s="2"/>
    </row>
    <row r="253" spans="1:21" ht="12.75" customHeight="1" x14ac:dyDescent="0.2">
      <c r="A253" s="2"/>
      <c r="B253" s="31"/>
      <c r="C253" s="32" t="str">
        <f>IFERROR((IF(B253="","",IF($F$6="","Informar UF / Tabela / Prazo de Pagamento",IF($F$9="","Informar UF / Tabela / Prazo de Pagamento",IF($C$9="","Informar UF / Tabela / Prazo de Pagamento",VLOOKUP(B253,'Tabela 130 '!$A$5:$T$1001,2,FALSE)))))),"REF. NÃO CADASTRADA NA TABELA")</f>
        <v/>
      </c>
      <c r="D253" s="33" t="str">
        <f>IF('FOLHA DE PEDIDO '!B253="","",IF(C253="REF. NÃO CADASTRADA NA TABELA","",VLOOKUP(B253,'Tabela 130 '!$A$5:$AI$801,3,FALSE)))</f>
        <v/>
      </c>
      <c r="E253" s="34"/>
      <c r="F253" s="34"/>
      <c r="G253" s="35" t="str">
        <f>IFERROR(IF(C253="REF. NÃO CADASTRADA NA TABELA","",IF($C$9="","",IF($F$9="","",IF(B253="","",IF($C$9=119,VLOOKUP(B253,'Tabela 130 '!$A$5:$T$2711,MATCH($F$9,'Tabela 130 '!$A$5:$T$5,0),FALSE),IF($C$9=553,VLOOKUP(B253,#REF!,MATCH($F$9,#REF!,0),FALSE),IF($C$9=552,VLOOKUP(B253,#REF!,MATCH($F$9,#REF!,0),FALSE),IF($C$9=551,VLOOKUP(B253,#REF!,MATCH($F$9,#REF!,0),FALSE))))))))),"REF. NÃO CADASTRADA NA TABELA")</f>
        <v/>
      </c>
      <c r="H253" s="36"/>
      <c r="I253" s="37" t="str">
        <f t="shared" si="0"/>
        <v/>
      </c>
      <c r="J253" s="33" t="str">
        <f t="shared" si="1"/>
        <v/>
      </c>
      <c r="K253" s="38" t="str">
        <f>IF($F$6="","",IF(B253="","",IF(C253="REF. NÃO CADASTRADA NA TABELA","",IFERROR(VLOOKUP(B253,#REF!,VLOOKUP($F$6,'BASE CONTÁBIL'!N:O,2,FALSE),FALSE),0))))</f>
        <v/>
      </c>
      <c r="L253" s="35" t="str">
        <f t="shared" si="2"/>
        <v/>
      </c>
      <c r="M253" s="35" t="str">
        <f t="shared" si="3"/>
        <v/>
      </c>
      <c r="N253" s="35" t="str">
        <f t="shared" si="4"/>
        <v/>
      </c>
      <c r="O253" s="35" t="str">
        <f t="shared" si="5"/>
        <v/>
      </c>
      <c r="P253" s="33" t="e">
        <f t="shared" si="6"/>
        <v>#REF!</v>
      </c>
      <c r="Q253" s="2"/>
      <c r="R253" s="2"/>
      <c r="S253" s="2"/>
      <c r="T253" s="2"/>
      <c r="U253" s="2"/>
    </row>
    <row r="254" spans="1:21" ht="12.75" customHeight="1" x14ac:dyDescent="0.2">
      <c r="A254" s="2"/>
      <c r="B254" s="31"/>
      <c r="C254" s="32" t="str">
        <f>IFERROR((IF(B254="","",IF($F$6="","Informar UF / Tabela / Prazo de Pagamento",IF($F$9="","Informar UF / Tabela / Prazo de Pagamento",IF($C$9="","Informar UF / Tabela / Prazo de Pagamento",VLOOKUP(B254,'Tabela 130 '!$A$5:$T$1001,2,FALSE)))))),"REF. NÃO CADASTRADA NA TABELA")</f>
        <v/>
      </c>
      <c r="D254" s="33" t="str">
        <f>IF('FOLHA DE PEDIDO '!B254="","",IF(C254="REF. NÃO CADASTRADA NA TABELA","",VLOOKUP(B254,'Tabela 130 '!$A$5:$AI$801,3,FALSE)))</f>
        <v/>
      </c>
      <c r="E254" s="34"/>
      <c r="F254" s="34"/>
      <c r="G254" s="35" t="str">
        <f>IFERROR(IF(C254="REF. NÃO CADASTRADA NA TABELA","",IF($C$9="","",IF($F$9="","",IF(B254="","",IF($C$9=119,VLOOKUP(B254,'Tabela 130 '!$A$5:$T$2711,MATCH($F$9,'Tabela 130 '!$A$5:$T$5,0),FALSE),IF($C$9=553,VLOOKUP(B254,#REF!,MATCH($F$9,#REF!,0),FALSE),IF($C$9=552,VLOOKUP(B254,#REF!,MATCH($F$9,#REF!,0),FALSE),IF($C$9=551,VLOOKUP(B254,#REF!,MATCH($F$9,#REF!,0),FALSE))))))))),"REF. NÃO CADASTRADA NA TABELA")</f>
        <v/>
      </c>
      <c r="H254" s="36"/>
      <c r="I254" s="37" t="str">
        <f t="shared" si="0"/>
        <v/>
      </c>
      <c r="J254" s="33" t="str">
        <f t="shared" si="1"/>
        <v/>
      </c>
      <c r="K254" s="38" t="str">
        <f>IF($F$6="","",IF(B254="","",IF(C254="REF. NÃO CADASTRADA NA TABELA","",IFERROR(VLOOKUP(B254,#REF!,VLOOKUP($F$6,'BASE CONTÁBIL'!N:O,2,FALSE),FALSE),0))))</f>
        <v/>
      </c>
      <c r="L254" s="35" t="str">
        <f t="shared" si="2"/>
        <v/>
      </c>
      <c r="M254" s="35" t="str">
        <f t="shared" si="3"/>
        <v/>
      </c>
      <c r="N254" s="35" t="str">
        <f t="shared" si="4"/>
        <v/>
      </c>
      <c r="O254" s="35" t="str">
        <f t="shared" si="5"/>
        <v/>
      </c>
      <c r="P254" s="33" t="e">
        <f t="shared" si="6"/>
        <v>#REF!</v>
      </c>
      <c r="Q254" s="2"/>
      <c r="R254" s="2"/>
      <c r="S254" s="2"/>
      <c r="T254" s="2"/>
      <c r="U254" s="2"/>
    </row>
    <row r="255" spans="1:21" ht="12.75" customHeight="1" x14ac:dyDescent="0.2">
      <c r="A255" s="2"/>
      <c r="B255" s="31"/>
      <c r="C255" s="32" t="str">
        <f>IFERROR((IF(B255="","",IF($F$6="","Informar UF / Tabela / Prazo de Pagamento",IF($F$9="","Informar UF / Tabela / Prazo de Pagamento",IF($C$9="","Informar UF / Tabela / Prazo de Pagamento",VLOOKUP(B255,'Tabela 130 '!$A$5:$T$1001,2,FALSE)))))),"REF. NÃO CADASTRADA NA TABELA")</f>
        <v/>
      </c>
      <c r="D255" s="33" t="str">
        <f>IF('FOLHA DE PEDIDO '!B255="","",IF(C255="REF. NÃO CADASTRADA NA TABELA","",VLOOKUP(B255,'Tabela 130 '!$A$5:$AI$801,3,FALSE)))</f>
        <v/>
      </c>
      <c r="E255" s="34"/>
      <c r="F255" s="34"/>
      <c r="G255" s="35" t="str">
        <f>IFERROR(IF(C255="REF. NÃO CADASTRADA NA TABELA","",IF($C$9="","",IF($F$9="","",IF(B255="","",IF($C$9=119,VLOOKUP(B255,'Tabela 130 '!$A$5:$T$2711,MATCH($F$9,'Tabela 130 '!$A$5:$T$5,0),FALSE),IF($C$9=553,VLOOKUP(B255,#REF!,MATCH($F$9,#REF!,0),FALSE),IF($C$9=552,VLOOKUP(B255,#REF!,MATCH($F$9,#REF!,0),FALSE),IF($C$9=551,VLOOKUP(B255,#REF!,MATCH($F$9,#REF!,0),FALSE))))))))),"REF. NÃO CADASTRADA NA TABELA")</f>
        <v/>
      </c>
      <c r="H255" s="36"/>
      <c r="I255" s="37" t="str">
        <f t="shared" si="0"/>
        <v/>
      </c>
      <c r="J255" s="33" t="str">
        <f t="shared" si="1"/>
        <v/>
      </c>
      <c r="K255" s="38" t="str">
        <f>IF($F$6="","",IF(B255="","",IF(C255="REF. NÃO CADASTRADA NA TABELA","",IFERROR(VLOOKUP(B255,#REF!,VLOOKUP($F$6,'BASE CONTÁBIL'!N:O,2,FALSE),FALSE),0))))</f>
        <v/>
      </c>
      <c r="L255" s="35" t="str">
        <f t="shared" si="2"/>
        <v/>
      </c>
      <c r="M255" s="35" t="str">
        <f t="shared" si="3"/>
        <v/>
      </c>
      <c r="N255" s="35" t="str">
        <f t="shared" si="4"/>
        <v/>
      </c>
      <c r="O255" s="35" t="str">
        <f t="shared" si="5"/>
        <v/>
      </c>
      <c r="P255" s="33" t="e">
        <f t="shared" si="6"/>
        <v>#REF!</v>
      </c>
      <c r="Q255" s="2"/>
      <c r="R255" s="2"/>
      <c r="S255" s="2"/>
      <c r="T255" s="2"/>
      <c r="U255" s="2"/>
    </row>
    <row r="256" spans="1:21" ht="12.75" customHeight="1" x14ac:dyDescent="0.2">
      <c r="A256" s="2"/>
      <c r="B256" s="31"/>
      <c r="C256" s="32" t="str">
        <f>IFERROR((IF(B256="","",IF($F$6="","Informar UF / Tabela / Prazo de Pagamento",IF($F$9="","Informar UF / Tabela / Prazo de Pagamento",IF($C$9="","Informar UF / Tabela / Prazo de Pagamento",VLOOKUP(B256,'Tabela 130 '!$A$5:$T$1001,2,FALSE)))))),"REF. NÃO CADASTRADA NA TABELA")</f>
        <v/>
      </c>
      <c r="D256" s="33" t="str">
        <f>IF('FOLHA DE PEDIDO '!B256="","",IF(C256="REF. NÃO CADASTRADA NA TABELA","",VLOOKUP(B256,'Tabela 130 '!$A$5:$AI$801,3,FALSE)))</f>
        <v/>
      </c>
      <c r="E256" s="34"/>
      <c r="F256" s="34"/>
      <c r="G256" s="35" t="str">
        <f>IFERROR(IF(C256="REF. NÃO CADASTRADA NA TABELA","",IF($C$9="","",IF($F$9="","",IF(B256="","",IF($C$9=119,VLOOKUP(B256,'Tabela 130 '!$A$5:$T$2711,MATCH($F$9,'Tabela 130 '!$A$5:$T$5,0),FALSE),IF($C$9=553,VLOOKUP(B256,#REF!,MATCH($F$9,#REF!,0),FALSE),IF($C$9=552,VLOOKUP(B256,#REF!,MATCH($F$9,#REF!,0),FALSE),IF($C$9=551,VLOOKUP(B256,#REF!,MATCH($F$9,#REF!,0),FALSE))))))))),"REF. NÃO CADASTRADA NA TABELA")</f>
        <v/>
      </c>
      <c r="H256" s="36"/>
      <c r="I256" s="37" t="str">
        <f t="shared" si="0"/>
        <v/>
      </c>
      <c r="J256" s="33" t="str">
        <f t="shared" si="1"/>
        <v/>
      </c>
      <c r="K256" s="38" t="str">
        <f>IF($F$6="","",IF(B256="","",IF(C256="REF. NÃO CADASTRADA NA TABELA","",IFERROR(VLOOKUP(B256,#REF!,VLOOKUP($F$6,'BASE CONTÁBIL'!N:O,2,FALSE),FALSE),0))))</f>
        <v/>
      </c>
      <c r="L256" s="35" t="str">
        <f t="shared" si="2"/>
        <v/>
      </c>
      <c r="M256" s="35" t="str">
        <f t="shared" si="3"/>
        <v/>
      </c>
      <c r="N256" s="35" t="str">
        <f t="shared" si="4"/>
        <v/>
      </c>
      <c r="O256" s="35" t="str">
        <f t="shared" si="5"/>
        <v/>
      </c>
      <c r="P256" s="33" t="e">
        <f t="shared" si="6"/>
        <v>#REF!</v>
      </c>
      <c r="Q256" s="2"/>
      <c r="R256" s="2"/>
      <c r="S256" s="2"/>
      <c r="T256" s="2"/>
      <c r="U256" s="2"/>
    </row>
    <row r="257" spans="1:21" ht="12.75" customHeight="1" x14ac:dyDescent="0.2">
      <c r="A257" s="2"/>
      <c r="B257" s="31"/>
      <c r="C257" s="32" t="str">
        <f>IFERROR((IF(B257="","",IF($F$6="","Informar UF / Tabela / Prazo de Pagamento",IF($F$9="","Informar UF / Tabela / Prazo de Pagamento",IF($C$9="","Informar UF / Tabela / Prazo de Pagamento",VLOOKUP(B257,'Tabela 130 '!$A$5:$T$1001,2,FALSE)))))),"REF. NÃO CADASTRADA NA TABELA")</f>
        <v/>
      </c>
      <c r="D257" s="33" t="str">
        <f>IF('FOLHA DE PEDIDO '!B257="","",IF(C257="REF. NÃO CADASTRADA NA TABELA","",VLOOKUP(B257,'Tabela 130 '!$A$5:$AI$801,3,FALSE)))</f>
        <v/>
      </c>
      <c r="E257" s="34"/>
      <c r="F257" s="34"/>
      <c r="G257" s="35" t="str">
        <f>IFERROR(IF(C257="REF. NÃO CADASTRADA NA TABELA","",IF($C$9="","",IF($F$9="","",IF(B257="","",IF($C$9=119,VLOOKUP(B257,'Tabela 130 '!$A$5:$T$2711,MATCH($F$9,'Tabela 130 '!$A$5:$T$5,0),FALSE),IF($C$9=553,VLOOKUP(B257,#REF!,MATCH($F$9,#REF!,0),FALSE),IF($C$9=552,VLOOKUP(B257,#REF!,MATCH($F$9,#REF!,0),FALSE),IF($C$9=551,VLOOKUP(B257,#REF!,MATCH($F$9,#REF!,0),FALSE))))))))),"REF. NÃO CADASTRADA NA TABELA")</f>
        <v/>
      </c>
      <c r="H257" s="36"/>
      <c r="I257" s="37" t="str">
        <f t="shared" si="0"/>
        <v/>
      </c>
      <c r="J257" s="33" t="str">
        <f t="shared" si="1"/>
        <v/>
      </c>
      <c r="K257" s="38" t="str">
        <f>IF($F$6="","",IF(B257="","",IF(C257="REF. NÃO CADASTRADA NA TABELA","",IFERROR(VLOOKUP(B257,#REF!,VLOOKUP($F$6,'BASE CONTÁBIL'!N:O,2,FALSE),FALSE),0))))</f>
        <v/>
      </c>
      <c r="L257" s="35" t="str">
        <f t="shared" si="2"/>
        <v/>
      </c>
      <c r="M257" s="35" t="str">
        <f t="shared" si="3"/>
        <v/>
      </c>
      <c r="N257" s="35" t="str">
        <f t="shared" si="4"/>
        <v/>
      </c>
      <c r="O257" s="35" t="str">
        <f t="shared" si="5"/>
        <v/>
      </c>
      <c r="P257" s="33" t="e">
        <f t="shared" si="6"/>
        <v>#REF!</v>
      </c>
      <c r="Q257" s="2"/>
      <c r="R257" s="2"/>
      <c r="S257" s="2"/>
      <c r="T257" s="2"/>
      <c r="U257" s="2"/>
    </row>
    <row r="258" spans="1:21" ht="12.75" customHeight="1" x14ac:dyDescent="0.2">
      <c r="A258" s="2"/>
      <c r="B258" s="31"/>
      <c r="C258" s="32" t="str">
        <f>IFERROR((IF(B258="","",IF($F$6="","Informar UF / Tabela / Prazo de Pagamento",IF($F$9="","Informar UF / Tabela / Prazo de Pagamento",IF($C$9="","Informar UF / Tabela / Prazo de Pagamento",VLOOKUP(B258,'Tabela 130 '!$A$5:$T$1001,2,FALSE)))))),"REF. NÃO CADASTRADA NA TABELA")</f>
        <v/>
      </c>
      <c r="D258" s="33" t="str">
        <f>IF('FOLHA DE PEDIDO '!B258="","",IF(C258="REF. NÃO CADASTRADA NA TABELA","",VLOOKUP(B258,'Tabela 130 '!$A$5:$AI$801,3,FALSE)))</f>
        <v/>
      </c>
      <c r="E258" s="34"/>
      <c r="F258" s="34"/>
      <c r="G258" s="35" t="str">
        <f>IFERROR(IF(C258="REF. NÃO CADASTRADA NA TABELA","",IF($C$9="","",IF($F$9="","",IF(B258="","",IF($C$9=119,VLOOKUP(B258,'Tabela 130 '!$A$5:$T$2711,MATCH($F$9,'Tabela 130 '!$A$5:$T$5,0),FALSE),IF($C$9=553,VLOOKUP(B258,#REF!,MATCH($F$9,#REF!,0),FALSE),IF($C$9=552,VLOOKUP(B258,#REF!,MATCH($F$9,#REF!,0),FALSE),IF($C$9=551,VLOOKUP(B258,#REF!,MATCH($F$9,#REF!,0),FALSE))))))))),"REF. NÃO CADASTRADA NA TABELA")</f>
        <v/>
      </c>
      <c r="H258" s="36"/>
      <c r="I258" s="37" t="str">
        <f t="shared" si="0"/>
        <v/>
      </c>
      <c r="J258" s="33" t="str">
        <f t="shared" si="1"/>
        <v/>
      </c>
      <c r="K258" s="38" t="str">
        <f>IF($F$6="","",IF(B258="","",IF(C258="REF. NÃO CADASTRADA NA TABELA","",IFERROR(VLOOKUP(B258,#REF!,VLOOKUP($F$6,'BASE CONTÁBIL'!N:O,2,FALSE),FALSE),0))))</f>
        <v/>
      </c>
      <c r="L258" s="35" t="str">
        <f t="shared" si="2"/>
        <v/>
      </c>
      <c r="M258" s="35" t="str">
        <f t="shared" si="3"/>
        <v/>
      </c>
      <c r="N258" s="35" t="str">
        <f t="shared" si="4"/>
        <v/>
      </c>
      <c r="O258" s="35" t="str">
        <f t="shared" si="5"/>
        <v/>
      </c>
      <c r="P258" s="33" t="e">
        <f t="shared" si="6"/>
        <v>#REF!</v>
      </c>
      <c r="Q258" s="2"/>
      <c r="R258" s="2"/>
      <c r="S258" s="2"/>
      <c r="T258" s="2"/>
      <c r="U258" s="2"/>
    </row>
    <row r="259" spans="1:21" ht="12.75" customHeight="1" x14ac:dyDescent="0.2">
      <c r="A259" s="2"/>
      <c r="B259" s="31"/>
      <c r="C259" s="32" t="str">
        <f>IFERROR((IF(B259="","",IF($F$6="","Informar UF / Tabela / Prazo de Pagamento",IF($F$9="","Informar UF / Tabela / Prazo de Pagamento",IF($C$9="","Informar UF / Tabela / Prazo de Pagamento",VLOOKUP(B259,'Tabela 130 '!$A$5:$T$1001,2,FALSE)))))),"REF. NÃO CADASTRADA NA TABELA")</f>
        <v/>
      </c>
      <c r="D259" s="33" t="str">
        <f>IF('FOLHA DE PEDIDO '!B259="","",IF(C259="REF. NÃO CADASTRADA NA TABELA","",VLOOKUP(B259,'Tabela 130 '!$A$5:$AI$801,3,FALSE)))</f>
        <v/>
      </c>
      <c r="E259" s="34"/>
      <c r="F259" s="34"/>
      <c r="G259" s="35" t="str">
        <f>IFERROR(IF(C259="REF. NÃO CADASTRADA NA TABELA","",IF($C$9="","",IF($F$9="","",IF(B259="","",IF($C$9=119,VLOOKUP(B259,'Tabela 130 '!$A$5:$T$2711,MATCH($F$9,'Tabela 130 '!$A$5:$T$5,0),FALSE),IF($C$9=553,VLOOKUP(B259,#REF!,MATCH($F$9,#REF!,0),FALSE),IF($C$9=552,VLOOKUP(B259,#REF!,MATCH($F$9,#REF!,0),FALSE),IF($C$9=551,VLOOKUP(B259,#REF!,MATCH($F$9,#REF!,0),FALSE))))))))),"REF. NÃO CADASTRADA NA TABELA")</f>
        <v/>
      </c>
      <c r="H259" s="36"/>
      <c r="I259" s="37" t="str">
        <f t="shared" si="0"/>
        <v/>
      </c>
      <c r="J259" s="33" t="str">
        <f t="shared" si="1"/>
        <v/>
      </c>
      <c r="K259" s="38" t="str">
        <f>IF($F$6="","",IF(B259="","",IF(C259="REF. NÃO CADASTRADA NA TABELA","",IFERROR(VLOOKUP(B259,#REF!,VLOOKUP($F$6,'BASE CONTÁBIL'!N:O,2,FALSE),FALSE),0))))</f>
        <v/>
      </c>
      <c r="L259" s="35" t="str">
        <f t="shared" si="2"/>
        <v/>
      </c>
      <c r="M259" s="35" t="str">
        <f t="shared" si="3"/>
        <v/>
      </c>
      <c r="N259" s="35" t="str">
        <f t="shared" si="4"/>
        <v/>
      </c>
      <c r="O259" s="35" t="str">
        <f t="shared" si="5"/>
        <v/>
      </c>
      <c r="P259" s="33" t="e">
        <f t="shared" si="6"/>
        <v>#REF!</v>
      </c>
      <c r="Q259" s="2"/>
      <c r="R259" s="2"/>
      <c r="S259" s="2"/>
      <c r="T259" s="2"/>
      <c r="U259" s="2"/>
    </row>
    <row r="260" spans="1:21" ht="12.75" customHeight="1" x14ac:dyDescent="0.2">
      <c r="A260" s="2"/>
      <c r="B260" s="31"/>
      <c r="C260" s="32" t="str">
        <f>IFERROR((IF(B260="","",IF($F$6="","Informar UF / Tabela / Prazo de Pagamento",IF($F$9="","Informar UF / Tabela / Prazo de Pagamento",IF($C$9="","Informar UF / Tabela / Prazo de Pagamento",VLOOKUP(B260,'Tabela 130 '!$A$5:$T$1001,2,FALSE)))))),"REF. NÃO CADASTRADA NA TABELA")</f>
        <v/>
      </c>
      <c r="D260" s="33" t="str">
        <f>IF('FOLHA DE PEDIDO '!B260="","",IF(C260="REF. NÃO CADASTRADA NA TABELA","",VLOOKUP(B260,'Tabela 130 '!$A$5:$AI$801,3,FALSE)))</f>
        <v/>
      </c>
      <c r="E260" s="34"/>
      <c r="F260" s="34"/>
      <c r="G260" s="35" t="str">
        <f>IFERROR(IF(C260="REF. NÃO CADASTRADA NA TABELA","",IF($C$9="","",IF($F$9="","",IF(B260="","",IF($C$9=119,VLOOKUP(B260,'Tabela 130 '!$A$5:$T$2711,MATCH($F$9,'Tabela 130 '!$A$5:$T$5,0),FALSE),IF($C$9=553,VLOOKUP(B260,#REF!,MATCH($F$9,#REF!,0),FALSE),IF($C$9=552,VLOOKUP(B260,#REF!,MATCH($F$9,#REF!,0),FALSE),IF($C$9=551,VLOOKUP(B260,#REF!,MATCH($F$9,#REF!,0),FALSE))))))))),"REF. NÃO CADASTRADA NA TABELA")</f>
        <v/>
      </c>
      <c r="H260" s="36"/>
      <c r="I260" s="37" t="str">
        <f t="shared" si="0"/>
        <v/>
      </c>
      <c r="J260" s="33" t="str">
        <f t="shared" si="1"/>
        <v/>
      </c>
      <c r="K260" s="38" t="str">
        <f>IF($F$6="","",IF(B260="","",IF(C260="REF. NÃO CADASTRADA NA TABELA","",IFERROR(VLOOKUP(B260,#REF!,VLOOKUP($F$6,'BASE CONTÁBIL'!N:O,2,FALSE),FALSE),0))))</f>
        <v/>
      </c>
      <c r="L260" s="35" t="str">
        <f t="shared" si="2"/>
        <v/>
      </c>
      <c r="M260" s="35" t="str">
        <f t="shared" si="3"/>
        <v/>
      </c>
      <c r="N260" s="35" t="str">
        <f t="shared" si="4"/>
        <v/>
      </c>
      <c r="O260" s="35" t="str">
        <f t="shared" si="5"/>
        <v/>
      </c>
      <c r="P260" s="33" t="e">
        <f t="shared" si="6"/>
        <v>#REF!</v>
      </c>
      <c r="Q260" s="2"/>
      <c r="R260" s="2"/>
      <c r="S260" s="2"/>
      <c r="T260" s="2"/>
      <c r="U260" s="2"/>
    </row>
    <row r="261" spans="1:21" ht="12.75" customHeight="1" x14ac:dyDescent="0.2">
      <c r="A261" s="2"/>
      <c r="B261" s="31"/>
      <c r="C261" s="32" t="str">
        <f>IFERROR((IF(B261="","",IF($F$6="","Informar UF / Tabela / Prazo de Pagamento",IF($F$9="","Informar UF / Tabela / Prazo de Pagamento",IF($C$9="","Informar UF / Tabela / Prazo de Pagamento",VLOOKUP(B261,'Tabela 130 '!$A$5:$T$1001,2,FALSE)))))),"REF. NÃO CADASTRADA NA TABELA")</f>
        <v/>
      </c>
      <c r="D261" s="33" t="str">
        <f>IF('FOLHA DE PEDIDO '!B261="","",IF(C261="REF. NÃO CADASTRADA NA TABELA","",VLOOKUP(B261,'Tabela 130 '!$A$5:$AI$801,3,FALSE)))</f>
        <v/>
      </c>
      <c r="E261" s="34"/>
      <c r="F261" s="34"/>
      <c r="G261" s="35" t="str">
        <f>IFERROR(IF(C261="REF. NÃO CADASTRADA NA TABELA","",IF($C$9="","",IF($F$9="","",IF(B261="","",IF($C$9=119,VLOOKUP(B261,'Tabela 130 '!$A$5:$T$2711,MATCH($F$9,'Tabela 130 '!$A$5:$T$5,0),FALSE),IF($C$9=553,VLOOKUP(B261,#REF!,MATCH($F$9,#REF!,0),FALSE),IF($C$9=552,VLOOKUP(B261,#REF!,MATCH($F$9,#REF!,0),FALSE),IF($C$9=551,VLOOKUP(B261,#REF!,MATCH($F$9,#REF!,0),FALSE))))))))),"REF. NÃO CADASTRADA NA TABELA")</f>
        <v/>
      </c>
      <c r="H261" s="36"/>
      <c r="I261" s="37" t="str">
        <f t="shared" si="0"/>
        <v/>
      </c>
      <c r="J261" s="33" t="str">
        <f t="shared" si="1"/>
        <v/>
      </c>
      <c r="K261" s="38" t="str">
        <f>IF($F$6="","",IF(B261="","",IF(C261="REF. NÃO CADASTRADA NA TABELA","",IFERROR(VLOOKUP(B261,#REF!,VLOOKUP($F$6,'BASE CONTÁBIL'!N:O,2,FALSE),FALSE),0))))</f>
        <v/>
      </c>
      <c r="L261" s="35" t="str">
        <f t="shared" si="2"/>
        <v/>
      </c>
      <c r="M261" s="35" t="str">
        <f t="shared" si="3"/>
        <v/>
      </c>
      <c r="N261" s="35" t="str">
        <f t="shared" si="4"/>
        <v/>
      </c>
      <c r="O261" s="35" t="str">
        <f t="shared" si="5"/>
        <v/>
      </c>
      <c r="P261" s="33" t="e">
        <f t="shared" si="6"/>
        <v>#REF!</v>
      </c>
      <c r="Q261" s="2"/>
      <c r="R261" s="2"/>
      <c r="S261" s="2"/>
      <c r="T261" s="2"/>
      <c r="U261" s="2"/>
    </row>
    <row r="262" spans="1:21" ht="12.75" customHeight="1" x14ac:dyDescent="0.2">
      <c r="A262" s="2"/>
      <c r="B262" s="31"/>
      <c r="C262" s="32" t="str">
        <f>IFERROR((IF(B262="","",IF($F$6="","Informar UF / Tabela / Prazo de Pagamento",IF($F$9="","Informar UF / Tabela / Prazo de Pagamento",IF($C$9="","Informar UF / Tabela / Prazo de Pagamento",VLOOKUP(B262,'Tabela 130 '!$A$5:$T$1001,2,FALSE)))))),"REF. NÃO CADASTRADA NA TABELA")</f>
        <v/>
      </c>
      <c r="D262" s="33" t="str">
        <f>IF('FOLHA DE PEDIDO '!B262="","",IF(C262="REF. NÃO CADASTRADA NA TABELA","",VLOOKUP(B262,'Tabela 130 '!$A$5:$AI$801,3,FALSE)))</f>
        <v/>
      </c>
      <c r="E262" s="34"/>
      <c r="F262" s="34"/>
      <c r="G262" s="35" t="str">
        <f>IFERROR(IF(C262="REF. NÃO CADASTRADA NA TABELA","",IF($C$9="","",IF($F$9="","",IF(B262="","",IF($C$9=119,VLOOKUP(B262,'Tabela 130 '!$A$5:$T$2711,MATCH($F$9,'Tabela 130 '!$A$5:$T$5,0),FALSE),IF($C$9=553,VLOOKUP(B262,#REF!,MATCH($F$9,#REF!,0),FALSE),IF($C$9=552,VLOOKUP(B262,#REF!,MATCH($F$9,#REF!,0),FALSE),IF($C$9=551,VLOOKUP(B262,#REF!,MATCH($F$9,#REF!,0),FALSE))))))))),"REF. NÃO CADASTRADA NA TABELA")</f>
        <v/>
      </c>
      <c r="H262" s="36"/>
      <c r="I262" s="37" t="str">
        <f t="shared" si="0"/>
        <v/>
      </c>
      <c r="J262" s="33" t="str">
        <f t="shared" si="1"/>
        <v/>
      </c>
      <c r="K262" s="38" t="str">
        <f>IF($F$6="","",IF(B262="","",IF(C262="REF. NÃO CADASTRADA NA TABELA","",IFERROR(VLOOKUP(B262,#REF!,VLOOKUP($F$6,'BASE CONTÁBIL'!N:O,2,FALSE),FALSE),0))))</f>
        <v/>
      </c>
      <c r="L262" s="35" t="str">
        <f t="shared" si="2"/>
        <v/>
      </c>
      <c r="M262" s="35" t="str">
        <f t="shared" si="3"/>
        <v/>
      </c>
      <c r="N262" s="35" t="str">
        <f t="shared" si="4"/>
        <v/>
      </c>
      <c r="O262" s="35" t="str">
        <f t="shared" si="5"/>
        <v/>
      </c>
      <c r="P262" s="33" t="e">
        <f t="shared" si="6"/>
        <v>#REF!</v>
      </c>
      <c r="Q262" s="2"/>
      <c r="R262" s="2"/>
      <c r="S262" s="2"/>
      <c r="T262" s="2"/>
      <c r="U262" s="2"/>
    </row>
    <row r="263" spans="1:21" ht="12.75" customHeight="1" x14ac:dyDescent="0.2">
      <c r="A263" s="2"/>
      <c r="B263" s="31"/>
      <c r="C263" s="32" t="str">
        <f>IFERROR((IF(B263="","",IF($F$6="","Informar UF / Tabela / Prazo de Pagamento",IF($F$9="","Informar UF / Tabela / Prazo de Pagamento",IF($C$9="","Informar UF / Tabela / Prazo de Pagamento",VLOOKUP(B263,'Tabela 130 '!$A$5:$T$1001,2,FALSE)))))),"REF. NÃO CADASTRADA NA TABELA")</f>
        <v/>
      </c>
      <c r="D263" s="33" t="str">
        <f>IF('FOLHA DE PEDIDO '!B263="","",IF(C263="REF. NÃO CADASTRADA NA TABELA","",VLOOKUP(B263,'Tabela 130 '!$A$5:$AI$801,3,FALSE)))</f>
        <v/>
      </c>
      <c r="E263" s="34"/>
      <c r="F263" s="34"/>
      <c r="G263" s="35" t="str">
        <f>IFERROR(IF(C263="REF. NÃO CADASTRADA NA TABELA","",IF($C$9="","",IF($F$9="","",IF(B263="","",IF($C$9=119,VLOOKUP(B263,'Tabela 130 '!$A$5:$T$2711,MATCH($F$9,'Tabela 130 '!$A$5:$T$5,0),FALSE),IF($C$9=553,VLOOKUP(B263,#REF!,MATCH($F$9,#REF!,0),FALSE),IF($C$9=552,VLOOKUP(B263,#REF!,MATCH($F$9,#REF!,0),FALSE),IF($C$9=551,VLOOKUP(B263,#REF!,MATCH($F$9,#REF!,0),FALSE))))))))),"REF. NÃO CADASTRADA NA TABELA")</f>
        <v/>
      </c>
      <c r="H263" s="36"/>
      <c r="I263" s="37" t="str">
        <f t="shared" si="0"/>
        <v/>
      </c>
      <c r="J263" s="33" t="str">
        <f t="shared" si="1"/>
        <v/>
      </c>
      <c r="K263" s="38" t="str">
        <f>IF($F$6="","",IF(B263="","",IF(C263="REF. NÃO CADASTRADA NA TABELA","",IFERROR(VLOOKUP(B263,#REF!,VLOOKUP($F$6,'BASE CONTÁBIL'!N:O,2,FALSE),FALSE),0))))</f>
        <v/>
      </c>
      <c r="L263" s="35" t="str">
        <f t="shared" si="2"/>
        <v/>
      </c>
      <c r="M263" s="35" t="str">
        <f t="shared" si="3"/>
        <v/>
      </c>
      <c r="N263" s="35" t="str">
        <f t="shared" si="4"/>
        <v/>
      </c>
      <c r="O263" s="35" t="str">
        <f t="shared" si="5"/>
        <v/>
      </c>
      <c r="P263" s="33" t="e">
        <f t="shared" si="6"/>
        <v>#REF!</v>
      </c>
      <c r="Q263" s="2"/>
      <c r="R263" s="2"/>
      <c r="S263" s="2"/>
      <c r="T263" s="2"/>
      <c r="U263" s="2"/>
    </row>
    <row r="264" spans="1:21" ht="12.75" customHeight="1" x14ac:dyDescent="0.2">
      <c r="A264" s="2"/>
      <c r="B264" s="31"/>
      <c r="C264" s="32" t="str">
        <f>IFERROR((IF(B264="","",IF($F$6="","Informar UF / Tabela / Prazo de Pagamento",IF($F$9="","Informar UF / Tabela / Prazo de Pagamento",IF($C$9="","Informar UF / Tabela / Prazo de Pagamento",VLOOKUP(B264,'Tabela 130 '!$A$5:$T$1001,2,FALSE)))))),"REF. NÃO CADASTRADA NA TABELA")</f>
        <v/>
      </c>
      <c r="D264" s="33" t="str">
        <f>IF('FOLHA DE PEDIDO '!B264="","",IF(C264="REF. NÃO CADASTRADA NA TABELA","",VLOOKUP(B264,'Tabela 130 '!$A$5:$AI$801,3,FALSE)))</f>
        <v/>
      </c>
      <c r="E264" s="34"/>
      <c r="F264" s="34"/>
      <c r="G264" s="35" t="str">
        <f>IFERROR(IF(C264="REF. NÃO CADASTRADA NA TABELA","",IF($C$9="","",IF($F$9="","",IF(B264="","",IF($C$9=119,VLOOKUP(B264,'Tabela 130 '!$A$5:$T$2711,MATCH($F$9,'Tabela 130 '!$A$5:$T$5,0),FALSE),IF($C$9=553,VLOOKUP(B264,#REF!,MATCH($F$9,#REF!,0),FALSE),IF($C$9=552,VLOOKUP(B264,#REF!,MATCH($F$9,#REF!,0),FALSE),IF($C$9=551,VLOOKUP(B264,#REF!,MATCH($F$9,#REF!,0),FALSE))))))))),"REF. NÃO CADASTRADA NA TABELA")</f>
        <v/>
      </c>
      <c r="H264" s="36"/>
      <c r="I264" s="37" t="str">
        <f t="shared" si="0"/>
        <v/>
      </c>
      <c r="J264" s="33" t="str">
        <f t="shared" si="1"/>
        <v/>
      </c>
      <c r="K264" s="38" t="str">
        <f>IF($F$6="","",IF(B264="","",IF(C264="REF. NÃO CADASTRADA NA TABELA","",IFERROR(VLOOKUP(B264,#REF!,VLOOKUP($F$6,'BASE CONTÁBIL'!N:O,2,FALSE),FALSE),0))))</f>
        <v/>
      </c>
      <c r="L264" s="35" t="str">
        <f t="shared" si="2"/>
        <v/>
      </c>
      <c r="M264" s="35" t="str">
        <f t="shared" si="3"/>
        <v/>
      </c>
      <c r="N264" s="35" t="str">
        <f t="shared" si="4"/>
        <v/>
      </c>
      <c r="O264" s="35" t="str">
        <f t="shared" si="5"/>
        <v/>
      </c>
      <c r="P264" s="33" t="e">
        <f t="shared" si="6"/>
        <v>#REF!</v>
      </c>
      <c r="Q264" s="2"/>
      <c r="R264" s="2"/>
      <c r="S264" s="2"/>
      <c r="T264" s="2"/>
      <c r="U264" s="2"/>
    </row>
    <row r="265" spans="1:21" ht="12.75" customHeight="1" x14ac:dyDescent="0.2">
      <c r="A265" s="2"/>
      <c r="B265" s="31"/>
      <c r="C265" s="32" t="str">
        <f>IFERROR((IF(B265="","",IF($F$6="","Informar UF / Tabela / Prazo de Pagamento",IF($F$9="","Informar UF / Tabela / Prazo de Pagamento",IF($C$9="","Informar UF / Tabela / Prazo de Pagamento",VLOOKUP(B265,'Tabela 130 '!$A$5:$T$1001,2,FALSE)))))),"REF. NÃO CADASTRADA NA TABELA")</f>
        <v/>
      </c>
      <c r="D265" s="33" t="str">
        <f>IF('FOLHA DE PEDIDO '!B265="","",IF(C265="REF. NÃO CADASTRADA NA TABELA","",VLOOKUP(B265,'Tabela 130 '!$A$5:$AI$801,3,FALSE)))</f>
        <v/>
      </c>
      <c r="E265" s="34"/>
      <c r="F265" s="34"/>
      <c r="G265" s="35" t="str">
        <f>IFERROR(IF(C265="REF. NÃO CADASTRADA NA TABELA","",IF($C$9="","",IF($F$9="","",IF(B265="","",IF($C$9=119,VLOOKUP(B265,'Tabela 130 '!$A$5:$T$2711,MATCH($F$9,'Tabela 130 '!$A$5:$T$5,0),FALSE),IF($C$9=553,VLOOKUP(B265,#REF!,MATCH($F$9,#REF!,0),FALSE),IF($C$9=552,VLOOKUP(B265,#REF!,MATCH($F$9,#REF!,0),FALSE),IF($C$9=551,VLOOKUP(B265,#REF!,MATCH($F$9,#REF!,0),FALSE))))))))),"REF. NÃO CADASTRADA NA TABELA")</f>
        <v/>
      </c>
      <c r="H265" s="36"/>
      <c r="I265" s="37" t="str">
        <f t="shared" si="0"/>
        <v/>
      </c>
      <c r="J265" s="33" t="str">
        <f t="shared" si="1"/>
        <v/>
      </c>
      <c r="K265" s="38" t="str">
        <f>IF($F$6="","",IF(B265="","",IF(C265="REF. NÃO CADASTRADA NA TABELA","",IFERROR(VLOOKUP(B265,#REF!,VLOOKUP($F$6,'BASE CONTÁBIL'!N:O,2,FALSE),FALSE),0))))</f>
        <v/>
      </c>
      <c r="L265" s="35" t="str">
        <f t="shared" si="2"/>
        <v/>
      </c>
      <c r="M265" s="35" t="str">
        <f t="shared" si="3"/>
        <v/>
      </c>
      <c r="N265" s="35" t="str">
        <f t="shared" si="4"/>
        <v/>
      </c>
      <c r="O265" s="35" t="str">
        <f t="shared" si="5"/>
        <v/>
      </c>
      <c r="P265" s="33" t="e">
        <f t="shared" si="6"/>
        <v>#REF!</v>
      </c>
      <c r="Q265" s="2"/>
      <c r="R265" s="2"/>
      <c r="S265" s="2"/>
      <c r="T265" s="2"/>
      <c r="U265" s="2"/>
    </row>
    <row r="266" spans="1:21" ht="12.75" customHeight="1" x14ac:dyDescent="0.2">
      <c r="A266" s="2"/>
      <c r="B266" s="31"/>
      <c r="C266" s="32" t="str">
        <f>IFERROR((IF(B266="","",IF($F$6="","Informar UF / Tabela / Prazo de Pagamento",IF($F$9="","Informar UF / Tabela / Prazo de Pagamento",IF($C$9="","Informar UF / Tabela / Prazo de Pagamento",VLOOKUP(B266,'Tabela 130 '!$A$5:$T$1001,2,FALSE)))))),"REF. NÃO CADASTRADA NA TABELA")</f>
        <v/>
      </c>
      <c r="D266" s="33" t="str">
        <f>IF('FOLHA DE PEDIDO '!B266="","",IF(C266="REF. NÃO CADASTRADA NA TABELA","",VLOOKUP(B266,'Tabela 130 '!$A$5:$AI$801,3,FALSE)))</f>
        <v/>
      </c>
      <c r="E266" s="34"/>
      <c r="F266" s="34"/>
      <c r="G266" s="35" t="str">
        <f>IFERROR(IF(C266="REF. NÃO CADASTRADA NA TABELA","",IF($C$9="","",IF($F$9="","",IF(B266="","",IF($C$9=119,VLOOKUP(B266,'Tabela 130 '!$A$5:$T$2711,MATCH($F$9,'Tabela 130 '!$A$5:$T$5,0),FALSE),IF($C$9=553,VLOOKUP(B266,#REF!,MATCH($F$9,#REF!,0),FALSE),IF($C$9=552,VLOOKUP(B266,#REF!,MATCH($F$9,#REF!,0),FALSE),IF($C$9=551,VLOOKUP(B266,#REF!,MATCH($F$9,#REF!,0),FALSE))))))))),"REF. NÃO CADASTRADA NA TABELA")</f>
        <v/>
      </c>
      <c r="H266" s="36"/>
      <c r="I266" s="37" t="str">
        <f t="shared" si="0"/>
        <v/>
      </c>
      <c r="J266" s="33" t="str">
        <f t="shared" si="1"/>
        <v/>
      </c>
      <c r="K266" s="38" t="str">
        <f>IF($F$6="","",IF(B266="","",IF(C266="REF. NÃO CADASTRADA NA TABELA","",IFERROR(VLOOKUP(B266,#REF!,VLOOKUP($F$6,'BASE CONTÁBIL'!N:O,2,FALSE),FALSE),0))))</f>
        <v/>
      </c>
      <c r="L266" s="35" t="str">
        <f t="shared" si="2"/>
        <v/>
      </c>
      <c r="M266" s="35" t="str">
        <f t="shared" si="3"/>
        <v/>
      </c>
      <c r="N266" s="35" t="str">
        <f t="shared" si="4"/>
        <v/>
      </c>
      <c r="O266" s="35" t="str">
        <f t="shared" si="5"/>
        <v/>
      </c>
      <c r="P266" s="33" t="e">
        <f t="shared" si="6"/>
        <v>#REF!</v>
      </c>
      <c r="Q266" s="2"/>
      <c r="R266" s="2"/>
      <c r="S266" s="2"/>
      <c r="T266" s="2"/>
      <c r="U266" s="2"/>
    </row>
    <row r="267" spans="1:21" ht="12.75" customHeight="1" x14ac:dyDescent="0.2">
      <c r="A267" s="2"/>
      <c r="B267" s="31"/>
      <c r="C267" s="32" t="str">
        <f>IFERROR((IF(B267="","",IF($F$6="","Informar UF / Tabela / Prazo de Pagamento",IF($F$9="","Informar UF / Tabela / Prazo de Pagamento",IF($C$9="","Informar UF / Tabela / Prazo de Pagamento",VLOOKUP(B267,'Tabela 130 '!$A$5:$T$1001,2,FALSE)))))),"REF. NÃO CADASTRADA NA TABELA")</f>
        <v/>
      </c>
      <c r="D267" s="33" t="str">
        <f>IF('FOLHA DE PEDIDO '!B267="","",IF(C267="REF. NÃO CADASTRADA NA TABELA","",VLOOKUP(B267,'Tabela 130 '!$A$5:$AI$801,3,FALSE)))</f>
        <v/>
      </c>
      <c r="E267" s="34"/>
      <c r="F267" s="34"/>
      <c r="G267" s="35" t="str">
        <f>IFERROR(IF(C267="REF. NÃO CADASTRADA NA TABELA","",IF($C$9="","",IF($F$9="","",IF(B267="","",IF($C$9=119,VLOOKUP(B267,'Tabela 130 '!$A$5:$T$2711,MATCH($F$9,'Tabela 130 '!$A$5:$T$5,0),FALSE),IF($C$9=553,VLOOKUP(B267,#REF!,MATCH($F$9,#REF!,0),FALSE),IF($C$9=552,VLOOKUP(B267,#REF!,MATCH($F$9,#REF!,0),FALSE),IF($C$9=551,VLOOKUP(B267,#REF!,MATCH($F$9,#REF!,0),FALSE))))))))),"REF. NÃO CADASTRADA NA TABELA")</f>
        <v/>
      </c>
      <c r="H267" s="36"/>
      <c r="I267" s="37" t="str">
        <f t="shared" si="0"/>
        <v/>
      </c>
      <c r="J267" s="33" t="str">
        <f t="shared" si="1"/>
        <v/>
      </c>
      <c r="K267" s="38" t="str">
        <f>IF($F$6="","",IF(B267="","",IF(C267="REF. NÃO CADASTRADA NA TABELA","",IFERROR(VLOOKUP(B267,#REF!,VLOOKUP($F$6,'BASE CONTÁBIL'!N:O,2,FALSE),FALSE),0))))</f>
        <v/>
      </c>
      <c r="L267" s="35" t="str">
        <f t="shared" si="2"/>
        <v/>
      </c>
      <c r="M267" s="35" t="str">
        <f t="shared" si="3"/>
        <v/>
      </c>
      <c r="N267" s="35" t="str">
        <f t="shared" si="4"/>
        <v/>
      </c>
      <c r="O267" s="35" t="str">
        <f t="shared" si="5"/>
        <v/>
      </c>
      <c r="P267" s="33" t="e">
        <f t="shared" si="6"/>
        <v>#REF!</v>
      </c>
      <c r="Q267" s="2"/>
      <c r="R267" s="2"/>
      <c r="S267" s="2"/>
      <c r="T267" s="2"/>
      <c r="U267" s="2"/>
    </row>
    <row r="268" spans="1:21" ht="12.75" customHeight="1" x14ac:dyDescent="0.2">
      <c r="A268" s="2"/>
      <c r="B268" s="31"/>
      <c r="C268" s="32" t="str">
        <f>IFERROR((IF(B268="","",IF($F$6="","Informar UF / Tabela / Prazo de Pagamento",IF($F$9="","Informar UF / Tabela / Prazo de Pagamento",IF($C$9="","Informar UF / Tabela / Prazo de Pagamento",VLOOKUP(B268,'Tabela 130 '!$A$5:$T$1001,2,FALSE)))))),"REF. NÃO CADASTRADA NA TABELA")</f>
        <v/>
      </c>
      <c r="D268" s="33" t="str">
        <f>IF('FOLHA DE PEDIDO '!B268="","",IF(C268="REF. NÃO CADASTRADA NA TABELA","",VLOOKUP(B268,'Tabela 130 '!$A$5:$AI$801,3,FALSE)))</f>
        <v/>
      </c>
      <c r="E268" s="34"/>
      <c r="F268" s="34"/>
      <c r="G268" s="35" t="str">
        <f>IFERROR(IF(C268="REF. NÃO CADASTRADA NA TABELA","",IF($C$9="","",IF($F$9="","",IF(B268="","",IF($C$9=119,VLOOKUP(B268,'Tabela 130 '!$A$5:$T$2711,MATCH($F$9,'Tabela 130 '!$A$5:$T$5,0),FALSE),IF($C$9=553,VLOOKUP(B268,#REF!,MATCH($F$9,#REF!,0),FALSE),IF($C$9=552,VLOOKUP(B268,#REF!,MATCH($F$9,#REF!,0),FALSE),IF($C$9=551,VLOOKUP(B268,#REF!,MATCH($F$9,#REF!,0),FALSE))))))))),"REF. NÃO CADASTRADA NA TABELA")</f>
        <v/>
      </c>
      <c r="H268" s="36"/>
      <c r="I268" s="37" t="str">
        <f t="shared" si="0"/>
        <v/>
      </c>
      <c r="J268" s="33" t="str">
        <f t="shared" si="1"/>
        <v/>
      </c>
      <c r="K268" s="38" t="str">
        <f>IF($F$6="","",IF(B268="","",IF(C268="REF. NÃO CADASTRADA NA TABELA","",IFERROR(VLOOKUP(B268,#REF!,VLOOKUP($F$6,'BASE CONTÁBIL'!N:O,2,FALSE),FALSE),0))))</f>
        <v/>
      </c>
      <c r="L268" s="35" t="str">
        <f t="shared" si="2"/>
        <v/>
      </c>
      <c r="M268" s="35" t="str">
        <f t="shared" si="3"/>
        <v/>
      </c>
      <c r="N268" s="35" t="str">
        <f t="shared" si="4"/>
        <v/>
      </c>
      <c r="O268" s="35" t="str">
        <f t="shared" si="5"/>
        <v/>
      </c>
      <c r="P268" s="33" t="e">
        <f t="shared" si="6"/>
        <v>#REF!</v>
      </c>
      <c r="Q268" s="2"/>
      <c r="R268" s="2"/>
      <c r="S268" s="2"/>
      <c r="T268" s="2"/>
      <c r="U268" s="2"/>
    </row>
    <row r="269" spans="1:21" ht="12.75" customHeight="1" x14ac:dyDescent="0.2">
      <c r="A269" s="2"/>
      <c r="B269" s="31"/>
      <c r="C269" s="32" t="str">
        <f>IFERROR((IF(B269="","",IF($F$6="","Informar UF / Tabela / Prazo de Pagamento",IF($F$9="","Informar UF / Tabela / Prazo de Pagamento",IF($C$9="","Informar UF / Tabela / Prazo de Pagamento",VLOOKUP(B269,'Tabela 130 '!$A$5:$T$1001,2,FALSE)))))),"REF. NÃO CADASTRADA NA TABELA")</f>
        <v/>
      </c>
      <c r="D269" s="33" t="str">
        <f>IF('FOLHA DE PEDIDO '!B269="","",IF(C269="REF. NÃO CADASTRADA NA TABELA","",VLOOKUP(B269,'Tabela 130 '!$A$5:$AI$801,3,FALSE)))</f>
        <v/>
      </c>
      <c r="E269" s="34"/>
      <c r="F269" s="34"/>
      <c r="G269" s="35" t="str">
        <f>IFERROR(IF(C269="REF. NÃO CADASTRADA NA TABELA","",IF($C$9="","",IF($F$9="","",IF(B269="","",IF($C$9=119,VLOOKUP(B269,'Tabela 130 '!$A$5:$T$2711,MATCH($F$9,'Tabela 130 '!$A$5:$T$5,0),FALSE),IF($C$9=553,VLOOKUP(B269,#REF!,MATCH($F$9,#REF!,0),FALSE),IF($C$9=552,VLOOKUP(B269,#REF!,MATCH($F$9,#REF!,0),FALSE),IF($C$9=551,VLOOKUP(B269,#REF!,MATCH($F$9,#REF!,0),FALSE))))))))),"REF. NÃO CADASTRADA NA TABELA")</f>
        <v/>
      </c>
      <c r="H269" s="36"/>
      <c r="I269" s="37" t="str">
        <f t="shared" si="0"/>
        <v/>
      </c>
      <c r="J269" s="33" t="str">
        <f t="shared" si="1"/>
        <v/>
      </c>
      <c r="K269" s="38" t="str">
        <f>IF($F$6="","",IF(B269="","",IF(C269="REF. NÃO CADASTRADA NA TABELA","",IFERROR(VLOOKUP(B269,#REF!,VLOOKUP($F$6,'BASE CONTÁBIL'!N:O,2,FALSE),FALSE),0))))</f>
        <v/>
      </c>
      <c r="L269" s="35" t="str">
        <f t="shared" si="2"/>
        <v/>
      </c>
      <c r="M269" s="35" t="str">
        <f t="shared" si="3"/>
        <v/>
      </c>
      <c r="N269" s="35" t="str">
        <f t="shared" si="4"/>
        <v/>
      </c>
      <c r="O269" s="35" t="str">
        <f t="shared" si="5"/>
        <v/>
      </c>
      <c r="P269" s="33" t="e">
        <f t="shared" si="6"/>
        <v>#REF!</v>
      </c>
      <c r="Q269" s="2"/>
      <c r="R269" s="2"/>
      <c r="S269" s="2"/>
      <c r="T269" s="2"/>
      <c r="U269" s="2"/>
    </row>
    <row r="270" spans="1:21" ht="12.75" customHeight="1" x14ac:dyDescent="0.2">
      <c r="A270" s="2"/>
      <c r="B270" s="31"/>
      <c r="C270" s="32" t="str">
        <f>IFERROR((IF(B270="","",IF($F$6="","Informar UF / Tabela / Prazo de Pagamento",IF($F$9="","Informar UF / Tabela / Prazo de Pagamento",IF($C$9="","Informar UF / Tabela / Prazo de Pagamento",VLOOKUP(B270,'Tabela 130 '!$A$5:$T$1001,2,FALSE)))))),"REF. NÃO CADASTRADA NA TABELA")</f>
        <v/>
      </c>
      <c r="D270" s="33" t="str">
        <f>IF('FOLHA DE PEDIDO '!B270="","",IF(C270="REF. NÃO CADASTRADA NA TABELA","",VLOOKUP(B270,'Tabela 130 '!$A$5:$AI$801,3,FALSE)))</f>
        <v/>
      </c>
      <c r="E270" s="34"/>
      <c r="F270" s="34"/>
      <c r="G270" s="35" t="str">
        <f>IFERROR(IF(C270="REF. NÃO CADASTRADA NA TABELA","",IF($C$9="","",IF($F$9="","",IF(B270="","",IF($C$9=119,VLOOKUP(B270,'Tabela 130 '!$A$5:$T$2711,MATCH($F$9,'Tabela 130 '!$A$5:$T$5,0),FALSE),IF($C$9=553,VLOOKUP(B270,#REF!,MATCH($F$9,#REF!,0),FALSE),IF($C$9=552,VLOOKUP(B270,#REF!,MATCH($F$9,#REF!,0),FALSE),IF($C$9=551,VLOOKUP(B270,#REF!,MATCH($F$9,#REF!,0),FALSE))))))))),"REF. NÃO CADASTRADA NA TABELA")</f>
        <v/>
      </c>
      <c r="H270" s="36"/>
      <c r="I270" s="37" t="str">
        <f t="shared" si="0"/>
        <v/>
      </c>
      <c r="J270" s="33" t="str">
        <f t="shared" si="1"/>
        <v/>
      </c>
      <c r="K270" s="38" t="str">
        <f>IF($F$6="","",IF(B270="","",IF(C270="REF. NÃO CADASTRADA NA TABELA","",IFERROR(VLOOKUP(B270,#REF!,VLOOKUP($F$6,'BASE CONTÁBIL'!N:O,2,FALSE),FALSE),0))))</f>
        <v/>
      </c>
      <c r="L270" s="35" t="str">
        <f t="shared" si="2"/>
        <v/>
      </c>
      <c r="M270" s="35" t="str">
        <f t="shared" si="3"/>
        <v/>
      </c>
      <c r="N270" s="35" t="str">
        <f t="shared" si="4"/>
        <v/>
      </c>
      <c r="O270" s="35" t="str">
        <f t="shared" si="5"/>
        <v/>
      </c>
      <c r="P270" s="33" t="e">
        <f t="shared" si="6"/>
        <v>#REF!</v>
      </c>
      <c r="Q270" s="2"/>
      <c r="R270" s="2"/>
      <c r="S270" s="2"/>
      <c r="T270" s="2"/>
      <c r="U270" s="2"/>
    </row>
    <row r="271" spans="1:21" ht="12.75" customHeight="1" x14ac:dyDescent="0.2">
      <c r="A271" s="2"/>
      <c r="B271" s="31"/>
      <c r="C271" s="32" t="str">
        <f>IFERROR((IF(B271="","",IF($F$6="","Informar UF / Tabela / Prazo de Pagamento",IF($F$9="","Informar UF / Tabela / Prazo de Pagamento",IF($C$9="","Informar UF / Tabela / Prazo de Pagamento",VLOOKUP(B271,'Tabela 130 '!$A$5:$T$1001,2,FALSE)))))),"REF. NÃO CADASTRADA NA TABELA")</f>
        <v/>
      </c>
      <c r="D271" s="33" t="str">
        <f>IF('FOLHA DE PEDIDO '!B271="","",IF(C271="REF. NÃO CADASTRADA NA TABELA","",VLOOKUP(B271,'Tabela 130 '!$A$5:$AI$801,3,FALSE)))</f>
        <v/>
      </c>
      <c r="E271" s="34"/>
      <c r="F271" s="34"/>
      <c r="G271" s="35" t="str">
        <f>IFERROR(IF(C271="REF. NÃO CADASTRADA NA TABELA","",IF($C$9="","",IF($F$9="","",IF(B271="","",IF($C$9=119,VLOOKUP(B271,'Tabela 130 '!$A$5:$T$2711,MATCH($F$9,'Tabela 130 '!$A$5:$T$5,0),FALSE),IF($C$9=553,VLOOKUP(B271,#REF!,MATCH($F$9,#REF!,0),FALSE),IF($C$9=552,VLOOKUP(B271,#REF!,MATCH($F$9,#REF!,0),FALSE),IF($C$9=551,VLOOKUP(B271,#REF!,MATCH($F$9,#REF!,0),FALSE))))))))),"REF. NÃO CADASTRADA NA TABELA")</f>
        <v/>
      </c>
      <c r="H271" s="36"/>
      <c r="I271" s="37" t="str">
        <f t="shared" si="0"/>
        <v/>
      </c>
      <c r="J271" s="33" t="str">
        <f t="shared" si="1"/>
        <v/>
      </c>
      <c r="K271" s="38" t="str">
        <f>IF($F$6="","",IF(B271="","",IF(C271="REF. NÃO CADASTRADA NA TABELA","",IFERROR(VLOOKUP(B271,#REF!,VLOOKUP($F$6,'BASE CONTÁBIL'!N:O,2,FALSE),FALSE),0))))</f>
        <v/>
      </c>
      <c r="L271" s="35" t="str">
        <f t="shared" si="2"/>
        <v/>
      </c>
      <c r="M271" s="35" t="str">
        <f t="shared" si="3"/>
        <v/>
      </c>
      <c r="N271" s="35" t="str">
        <f t="shared" si="4"/>
        <v/>
      </c>
      <c r="O271" s="35" t="str">
        <f t="shared" si="5"/>
        <v/>
      </c>
      <c r="P271" s="33" t="e">
        <f t="shared" si="6"/>
        <v>#REF!</v>
      </c>
      <c r="Q271" s="2"/>
      <c r="R271" s="2"/>
      <c r="S271" s="2"/>
      <c r="T271" s="2"/>
      <c r="U271" s="2"/>
    </row>
    <row r="272" spans="1:21" ht="12.75" customHeight="1" x14ac:dyDescent="0.2">
      <c r="A272" s="2"/>
      <c r="B272" s="31"/>
      <c r="C272" s="32" t="str">
        <f>IFERROR((IF(B272="","",IF($F$6="","Informar UF / Tabela / Prazo de Pagamento",IF($F$9="","Informar UF / Tabela / Prazo de Pagamento",IF($C$9="","Informar UF / Tabela / Prazo de Pagamento",VLOOKUP(B272,'Tabela 130 '!$A$5:$T$1001,2,FALSE)))))),"REF. NÃO CADASTRADA NA TABELA")</f>
        <v/>
      </c>
      <c r="D272" s="33" t="str">
        <f>IF('FOLHA DE PEDIDO '!B272="","",IF(C272="REF. NÃO CADASTRADA NA TABELA","",VLOOKUP(B272,'Tabela 130 '!$A$5:$AI$801,3,FALSE)))</f>
        <v/>
      </c>
      <c r="E272" s="34"/>
      <c r="F272" s="34"/>
      <c r="G272" s="35" t="str">
        <f>IFERROR(IF(C272="REF. NÃO CADASTRADA NA TABELA","",IF($C$9="","",IF($F$9="","",IF(B272="","",IF($C$9=119,VLOOKUP(B272,'Tabela 130 '!$A$5:$T$2711,MATCH($F$9,'Tabela 130 '!$A$5:$T$5,0),FALSE),IF($C$9=553,VLOOKUP(B272,#REF!,MATCH($F$9,#REF!,0),FALSE),IF($C$9=552,VLOOKUP(B272,#REF!,MATCH($F$9,#REF!,0),FALSE),IF($C$9=551,VLOOKUP(B272,#REF!,MATCH($F$9,#REF!,0),FALSE))))))))),"REF. NÃO CADASTRADA NA TABELA")</f>
        <v/>
      </c>
      <c r="H272" s="36"/>
      <c r="I272" s="37" t="str">
        <f t="shared" si="0"/>
        <v/>
      </c>
      <c r="J272" s="33" t="str">
        <f t="shared" si="1"/>
        <v/>
      </c>
      <c r="K272" s="38" t="str">
        <f>IF($F$6="","",IF(B272="","",IF(C272="REF. NÃO CADASTRADA NA TABELA","",IFERROR(VLOOKUP(B272,#REF!,VLOOKUP($F$6,'BASE CONTÁBIL'!N:O,2,FALSE),FALSE),0))))</f>
        <v/>
      </c>
      <c r="L272" s="35" t="str">
        <f t="shared" si="2"/>
        <v/>
      </c>
      <c r="M272" s="35" t="str">
        <f t="shared" si="3"/>
        <v/>
      </c>
      <c r="N272" s="35" t="str">
        <f t="shared" si="4"/>
        <v/>
      </c>
      <c r="O272" s="35" t="str">
        <f t="shared" si="5"/>
        <v/>
      </c>
      <c r="P272" s="33" t="e">
        <f t="shared" si="6"/>
        <v>#REF!</v>
      </c>
      <c r="Q272" s="2"/>
      <c r="R272" s="2"/>
      <c r="S272" s="2"/>
      <c r="T272" s="2"/>
      <c r="U272" s="2"/>
    </row>
    <row r="273" spans="1:21" ht="12.75" customHeight="1" x14ac:dyDescent="0.2">
      <c r="A273" s="2"/>
      <c r="B273" s="31"/>
      <c r="C273" s="32" t="str">
        <f>IFERROR((IF(B273="","",IF($F$6="","Informar UF / Tabela / Prazo de Pagamento",IF($F$9="","Informar UF / Tabela / Prazo de Pagamento",IF($C$9="","Informar UF / Tabela / Prazo de Pagamento",VLOOKUP(B273,'Tabela 130 '!$A$5:$T$1001,2,FALSE)))))),"REF. NÃO CADASTRADA NA TABELA")</f>
        <v/>
      </c>
      <c r="D273" s="33" t="str">
        <f>IF('FOLHA DE PEDIDO '!B273="","",IF(C273="REF. NÃO CADASTRADA NA TABELA","",VLOOKUP(B273,'Tabela 130 '!$A$5:$AI$801,3,FALSE)))</f>
        <v/>
      </c>
      <c r="E273" s="34"/>
      <c r="F273" s="34"/>
      <c r="G273" s="35" t="str">
        <f>IFERROR(IF(C273="REF. NÃO CADASTRADA NA TABELA","",IF($C$9="","",IF($F$9="","",IF(B273="","",IF($C$9=119,VLOOKUP(B273,'Tabela 130 '!$A$5:$T$2711,MATCH($F$9,'Tabela 130 '!$A$5:$T$5,0),FALSE),IF($C$9=553,VLOOKUP(B273,#REF!,MATCH($F$9,#REF!,0),FALSE),IF($C$9=552,VLOOKUP(B273,#REF!,MATCH($F$9,#REF!,0),FALSE),IF($C$9=551,VLOOKUP(B273,#REF!,MATCH($F$9,#REF!,0),FALSE))))))))),"REF. NÃO CADASTRADA NA TABELA")</f>
        <v/>
      </c>
      <c r="H273" s="36"/>
      <c r="I273" s="37" t="str">
        <f t="shared" si="0"/>
        <v/>
      </c>
      <c r="J273" s="33" t="str">
        <f t="shared" si="1"/>
        <v/>
      </c>
      <c r="K273" s="38" t="str">
        <f>IF($F$6="","",IF(B273="","",IF(C273="REF. NÃO CADASTRADA NA TABELA","",IFERROR(VLOOKUP(B273,#REF!,VLOOKUP($F$6,'BASE CONTÁBIL'!N:O,2,FALSE),FALSE),0))))</f>
        <v/>
      </c>
      <c r="L273" s="35" t="str">
        <f t="shared" si="2"/>
        <v/>
      </c>
      <c r="M273" s="35" t="str">
        <f t="shared" si="3"/>
        <v/>
      </c>
      <c r="N273" s="35" t="str">
        <f t="shared" si="4"/>
        <v/>
      </c>
      <c r="O273" s="35" t="str">
        <f t="shared" si="5"/>
        <v/>
      </c>
      <c r="P273" s="33" t="e">
        <f t="shared" si="6"/>
        <v>#REF!</v>
      </c>
      <c r="Q273" s="2"/>
      <c r="R273" s="2"/>
      <c r="S273" s="2"/>
      <c r="T273" s="2"/>
      <c r="U273" s="2"/>
    </row>
    <row r="274" spans="1:21" ht="12.75" customHeight="1" x14ac:dyDescent="0.2">
      <c r="A274" s="2"/>
      <c r="B274" s="31"/>
      <c r="C274" s="32" t="str">
        <f>IFERROR((IF(B274="","",IF($F$6="","Informar UF / Tabela / Prazo de Pagamento",IF($F$9="","Informar UF / Tabela / Prazo de Pagamento",IF($C$9="","Informar UF / Tabela / Prazo de Pagamento",VLOOKUP(B274,'Tabela 130 '!$A$5:$T$1001,2,FALSE)))))),"REF. NÃO CADASTRADA NA TABELA")</f>
        <v/>
      </c>
      <c r="D274" s="33" t="str">
        <f>IF('FOLHA DE PEDIDO '!B274="","",IF(C274="REF. NÃO CADASTRADA NA TABELA","",VLOOKUP(B274,'Tabela 130 '!$A$5:$AI$801,3,FALSE)))</f>
        <v/>
      </c>
      <c r="E274" s="34"/>
      <c r="F274" s="34"/>
      <c r="G274" s="35" t="str">
        <f>IFERROR(IF(C274="REF. NÃO CADASTRADA NA TABELA","",IF($C$9="","",IF($F$9="","",IF(B274="","",IF($C$9=119,VLOOKUP(B274,'Tabela 130 '!$A$5:$T$2711,MATCH($F$9,'Tabela 130 '!$A$5:$T$5,0),FALSE),IF($C$9=553,VLOOKUP(B274,#REF!,MATCH($F$9,#REF!,0),FALSE),IF($C$9=552,VLOOKUP(B274,#REF!,MATCH($F$9,#REF!,0),FALSE),IF($C$9=551,VLOOKUP(B274,#REF!,MATCH($F$9,#REF!,0),FALSE))))))))),"REF. NÃO CADASTRADA NA TABELA")</f>
        <v/>
      </c>
      <c r="H274" s="36"/>
      <c r="I274" s="37" t="str">
        <f t="shared" si="0"/>
        <v/>
      </c>
      <c r="J274" s="33" t="str">
        <f t="shared" si="1"/>
        <v/>
      </c>
      <c r="K274" s="38" t="str">
        <f>IF($F$6="","",IF(B274="","",IF(C274="REF. NÃO CADASTRADA NA TABELA","",IFERROR(VLOOKUP(B274,#REF!,VLOOKUP($F$6,'BASE CONTÁBIL'!N:O,2,FALSE),FALSE),0))))</f>
        <v/>
      </c>
      <c r="L274" s="35" t="str">
        <f t="shared" si="2"/>
        <v/>
      </c>
      <c r="M274" s="35" t="str">
        <f t="shared" si="3"/>
        <v/>
      </c>
      <c r="N274" s="35" t="str">
        <f t="shared" si="4"/>
        <v/>
      </c>
      <c r="O274" s="35" t="str">
        <f t="shared" si="5"/>
        <v/>
      </c>
      <c r="P274" s="33" t="e">
        <f t="shared" si="6"/>
        <v>#REF!</v>
      </c>
      <c r="Q274" s="2"/>
      <c r="R274" s="2"/>
      <c r="S274" s="2"/>
      <c r="T274" s="2"/>
      <c r="U274" s="2"/>
    </row>
    <row r="275" spans="1:21" ht="12.75" customHeight="1" x14ac:dyDescent="0.2">
      <c r="A275" s="2"/>
      <c r="B275" s="31"/>
      <c r="C275" s="32" t="str">
        <f>IFERROR((IF(B275="","",IF($F$6="","Informar UF / Tabela / Prazo de Pagamento",IF($F$9="","Informar UF / Tabela / Prazo de Pagamento",IF($C$9="","Informar UF / Tabela / Prazo de Pagamento",VLOOKUP(B275,'Tabela 130 '!$A$5:$T$1001,2,FALSE)))))),"REF. NÃO CADASTRADA NA TABELA")</f>
        <v/>
      </c>
      <c r="D275" s="33" t="str">
        <f>IF('FOLHA DE PEDIDO '!B275="","",IF(C275="REF. NÃO CADASTRADA NA TABELA","",VLOOKUP(B275,'Tabela 130 '!$A$5:$AI$801,3,FALSE)))</f>
        <v/>
      </c>
      <c r="E275" s="34"/>
      <c r="F275" s="34"/>
      <c r="G275" s="35" t="str">
        <f>IFERROR(IF(C275="REF. NÃO CADASTRADA NA TABELA","",IF($C$9="","",IF($F$9="","",IF(B275="","",IF($C$9=119,VLOOKUP(B275,'Tabela 130 '!$A$5:$T$2711,MATCH($F$9,'Tabela 130 '!$A$5:$T$5,0),FALSE),IF($C$9=553,VLOOKUP(B275,#REF!,MATCH($F$9,#REF!,0),FALSE),IF($C$9=552,VLOOKUP(B275,#REF!,MATCH($F$9,#REF!,0),FALSE),IF($C$9=551,VLOOKUP(B275,#REF!,MATCH($F$9,#REF!,0),FALSE))))))))),"REF. NÃO CADASTRADA NA TABELA")</f>
        <v/>
      </c>
      <c r="H275" s="36"/>
      <c r="I275" s="37" t="str">
        <f t="shared" si="0"/>
        <v/>
      </c>
      <c r="J275" s="33" t="str">
        <f t="shared" si="1"/>
        <v/>
      </c>
      <c r="K275" s="38" t="str">
        <f>IF($F$6="","",IF(B275="","",IF(C275="REF. NÃO CADASTRADA NA TABELA","",IFERROR(VLOOKUP(B275,#REF!,VLOOKUP($F$6,'BASE CONTÁBIL'!N:O,2,FALSE),FALSE),0))))</f>
        <v/>
      </c>
      <c r="L275" s="35" t="str">
        <f t="shared" si="2"/>
        <v/>
      </c>
      <c r="M275" s="35" t="str">
        <f t="shared" si="3"/>
        <v/>
      </c>
      <c r="N275" s="35" t="str">
        <f t="shared" si="4"/>
        <v/>
      </c>
      <c r="O275" s="35" t="str">
        <f t="shared" si="5"/>
        <v/>
      </c>
      <c r="P275" s="33" t="e">
        <f t="shared" si="6"/>
        <v>#REF!</v>
      </c>
      <c r="Q275" s="2"/>
      <c r="R275" s="2"/>
      <c r="S275" s="2"/>
      <c r="T275" s="2"/>
      <c r="U275" s="2"/>
    </row>
    <row r="276" spans="1:21" ht="12.75" customHeight="1" x14ac:dyDescent="0.2">
      <c r="A276" s="2"/>
      <c r="B276" s="31"/>
      <c r="C276" s="32" t="str">
        <f>IFERROR((IF(B276="","",IF($F$6="","Informar UF / Tabela / Prazo de Pagamento",IF($F$9="","Informar UF / Tabela / Prazo de Pagamento",IF($C$9="","Informar UF / Tabela / Prazo de Pagamento",VLOOKUP(B276,'Tabela 130 '!$A$5:$T$1001,2,FALSE)))))),"REF. NÃO CADASTRADA NA TABELA")</f>
        <v/>
      </c>
      <c r="D276" s="33" t="str">
        <f>IF('FOLHA DE PEDIDO '!B276="","",IF(C276="REF. NÃO CADASTRADA NA TABELA","",VLOOKUP(B276,'Tabela 130 '!$A$5:$AI$801,3,FALSE)))</f>
        <v/>
      </c>
      <c r="E276" s="34"/>
      <c r="F276" s="34"/>
      <c r="G276" s="35" t="str">
        <f>IFERROR(IF(C276="REF. NÃO CADASTRADA NA TABELA","",IF($C$9="","",IF($F$9="","",IF(B276="","",IF($C$9=119,VLOOKUP(B276,'Tabela 130 '!$A$5:$T$2711,MATCH($F$9,'Tabela 130 '!$A$5:$T$5,0),FALSE),IF($C$9=553,VLOOKUP(B276,#REF!,MATCH($F$9,#REF!,0),FALSE),IF($C$9=552,VLOOKUP(B276,#REF!,MATCH($F$9,#REF!,0),FALSE),IF($C$9=551,VLOOKUP(B276,#REF!,MATCH($F$9,#REF!,0),FALSE))))))))),"REF. NÃO CADASTRADA NA TABELA")</f>
        <v/>
      </c>
      <c r="H276" s="36"/>
      <c r="I276" s="37" t="str">
        <f t="shared" ref="I276:I328" si="7">IFERROR(IF(B276=0,"",(G276-(G276*H276))),"")</f>
        <v/>
      </c>
      <c r="J276" s="33" t="str">
        <f t="shared" ref="J276:J328" si="8">IF(B276="","",IF(C276="REF. NÃO CADASTRADA NA TABELA","",VLOOKUP(B276,#REF!,7,FALSE)))</f>
        <v/>
      </c>
      <c r="K276" s="38" t="str">
        <f>IF($F$6="","",IF(B276="","",IF(C276="REF. NÃO CADASTRADA NA TABELA","",IFERROR(VLOOKUP(B276,#REF!,VLOOKUP($F$6,'BASE CONTÁBIL'!N:O,2,FALSE),FALSE),0))))</f>
        <v/>
      </c>
      <c r="L276" s="35" t="str">
        <f t="shared" ref="L276:L328" si="9">IFERROR(I276*(1+J276%),"")</f>
        <v/>
      </c>
      <c r="M276" s="35" t="str">
        <f t="shared" ref="M276:M328" si="10">IFERROR(IF(B276="","",L276*(1+K276)),"")</f>
        <v/>
      </c>
      <c r="N276" s="35" t="str">
        <f t="shared" ref="N276:N328" si="11">IFERROR(IF(B276="","",IF(F276="","",F276*I276)),"")</f>
        <v/>
      </c>
      <c r="O276" s="35" t="str">
        <f t="shared" ref="O276:O328" si="12">IFERROR(IF(B276="","",IF(F276="","",M276*F276)),"")</f>
        <v/>
      </c>
      <c r="P276" s="33" t="e">
        <f t="shared" ref="P276:P328" si="13">VLOOKUP(B276,#REF!,17,FALSE)</f>
        <v>#REF!</v>
      </c>
      <c r="Q276" s="2"/>
      <c r="R276" s="2"/>
      <c r="S276" s="2"/>
      <c r="T276" s="2"/>
      <c r="U276" s="2"/>
    </row>
    <row r="277" spans="1:21" ht="12.75" customHeight="1" x14ac:dyDescent="0.2">
      <c r="A277" s="2"/>
      <c r="B277" s="31"/>
      <c r="C277" s="32" t="str">
        <f>IFERROR((IF(B277="","",IF($F$6="","Informar UF / Tabela / Prazo de Pagamento",IF($F$9="","Informar UF / Tabela / Prazo de Pagamento",IF($C$9="","Informar UF / Tabela / Prazo de Pagamento",VLOOKUP(B277,'Tabela 130 '!$A$5:$T$1001,2,FALSE)))))),"REF. NÃO CADASTRADA NA TABELA")</f>
        <v/>
      </c>
      <c r="D277" s="33" t="str">
        <f>IF('FOLHA DE PEDIDO '!B277="","",IF(C277="REF. NÃO CADASTRADA NA TABELA","",VLOOKUP(B277,'Tabela 130 '!$A$5:$AI$801,3,FALSE)))</f>
        <v/>
      </c>
      <c r="E277" s="34"/>
      <c r="F277" s="34"/>
      <c r="G277" s="35" t="str">
        <f>IFERROR(IF(C277="REF. NÃO CADASTRADA NA TABELA","",IF($C$9="","",IF($F$9="","",IF(B277="","",IF($C$9=119,VLOOKUP(B277,'Tabela 130 '!$A$5:$T$2711,MATCH($F$9,'Tabela 130 '!$A$5:$T$5,0),FALSE),IF($C$9=553,VLOOKUP(B277,#REF!,MATCH($F$9,#REF!,0),FALSE),IF($C$9=552,VLOOKUP(B277,#REF!,MATCH($F$9,#REF!,0),FALSE),IF($C$9=551,VLOOKUP(B277,#REF!,MATCH($F$9,#REF!,0),FALSE))))))))),"REF. NÃO CADASTRADA NA TABELA")</f>
        <v/>
      </c>
      <c r="H277" s="36"/>
      <c r="I277" s="37" t="str">
        <f t="shared" si="7"/>
        <v/>
      </c>
      <c r="J277" s="33" t="str">
        <f t="shared" si="8"/>
        <v/>
      </c>
      <c r="K277" s="38" t="str">
        <f>IF($F$6="","",IF(B277="","",IF(C277="REF. NÃO CADASTRADA NA TABELA","",IFERROR(VLOOKUP(B277,#REF!,VLOOKUP($F$6,'BASE CONTÁBIL'!N:O,2,FALSE),FALSE),0))))</f>
        <v/>
      </c>
      <c r="L277" s="35" t="str">
        <f t="shared" si="9"/>
        <v/>
      </c>
      <c r="M277" s="35" t="str">
        <f t="shared" si="10"/>
        <v/>
      </c>
      <c r="N277" s="35" t="str">
        <f t="shared" si="11"/>
        <v/>
      </c>
      <c r="O277" s="35" t="str">
        <f t="shared" si="12"/>
        <v/>
      </c>
      <c r="P277" s="33" t="e">
        <f t="shared" si="13"/>
        <v>#REF!</v>
      </c>
      <c r="Q277" s="2"/>
      <c r="R277" s="2"/>
      <c r="S277" s="2"/>
      <c r="T277" s="2"/>
      <c r="U277" s="2"/>
    </row>
    <row r="278" spans="1:21" ht="12.75" customHeight="1" x14ac:dyDescent="0.2">
      <c r="A278" s="2"/>
      <c r="B278" s="31"/>
      <c r="C278" s="32" t="str">
        <f>IFERROR((IF(B278="","",IF($F$6="","Informar UF / Tabela / Prazo de Pagamento",IF($F$9="","Informar UF / Tabela / Prazo de Pagamento",IF($C$9="","Informar UF / Tabela / Prazo de Pagamento",VLOOKUP(B278,'Tabela 130 '!$A$5:$T$1001,2,FALSE)))))),"REF. NÃO CADASTRADA NA TABELA")</f>
        <v/>
      </c>
      <c r="D278" s="33" t="str">
        <f>IF('FOLHA DE PEDIDO '!B278="","",IF(C278="REF. NÃO CADASTRADA NA TABELA","",VLOOKUP(B278,'Tabela 130 '!$A$5:$AI$801,3,FALSE)))</f>
        <v/>
      </c>
      <c r="E278" s="34"/>
      <c r="F278" s="34"/>
      <c r="G278" s="35" t="str">
        <f>IFERROR(IF(C278="REF. NÃO CADASTRADA NA TABELA","",IF($C$9="","",IF($F$9="","",IF(B278="","",IF($C$9=119,VLOOKUP(B278,'Tabela 130 '!$A$5:$T$2711,MATCH($F$9,'Tabela 130 '!$A$5:$T$5,0),FALSE),IF($C$9=553,VLOOKUP(B278,#REF!,MATCH($F$9,#REF!,0),FALSE),IF($C$9=552,VLOOKUP(B278,#REF!,MATCH($F$9,#REF!,0),FALSE),IF($C$9=551,VLOOKUP(B278,#REF!,MATCH($F$9,#REF!,0),FALSE))))))))),"REF. NÃO CADASTRADA NA TABELA")</f>
        <v/>
      </c>
      <c r="H278" s="36"/>
      <c r="I278" s="37" t="str">
        <f t="shared" si="7"/>
        <v/>
      </c>
      <c r="J278" s="33" t="str">
        <f t="shared" si="8"/>
        <v/>
      </c>
      <c r="K278" s="38" t="str">
        <f>IF($F$6="","",IF(B278="","",IF(C278="REF. NÃO CADASTRADA NA TABELA","",IFERROR(VLOOKUP(B278,#REF!,VLOOKUP($F$6,'BASE CONTÁBIL'!N:O,2,FALSE),FALSE),0))))</f>
        <v/>
      </c>
      <c r="L278" s="35" t="str">
        <f t="shared" si="9"/>
        <v/>
      </c>
      <c r="M278" s="35" t="str">
        <f t="shared" si="10"/>
        <v/>
      </c>
      <c r="N278" s="35" t="str">
        <f t="shared" si="11"/>
        <v/>
      </c>
      <c r="O278" s="35" t="str">
        <f t="shared" si="12"/>
        <v/>
      </c>
      <c r="P278" s="33" t="e">
        <f t="shared" si="13"/>
        <v>#REF!</v>
      </c>
      <c r="Q278" s="2"/>
      <c r="R278" s="2"/>
      <c r="S278" s="2"/>
      <c r="T278" s="2"/>
      <c r="U278" s="2"/>
    </row>
    <row r="279" spans="1:21" ht="12.75" customHeight="1" x14ac:dyDescent="0.2">
      <c r="A279" s="2"/>
      <c r="B279" s="31"/>
      <c r="C279" s="32" t="str">
        <f>IFERROR((IF(B279="","",IF($F$6="","Informar UF / Tabela / Prazo de Pagamento",IF($F$9="","Informar UF / Tabela / Prazo de Pagamento",IF($C$9="","Informar UF / Tabela / Prazo de Pagamento",VLOOKUP(B279,'Tabela 130 '!$A$5:$T$1001,2,FALSE)))))),"REF. NÃO CADASTRADA NA TABELA")</f>
        <v/>
      </c>
      <c r="D279" s="33" t="str">
        <f>IF('FOLHA DE PEDIDO '!B279="","",IF(C279="REF. NÃO CADASTRADA NA TABELA","",VLOOKUP(B279,'Tabela 130 '!$A$5:$AI$801,3,FALSE)))</f>
        <v/>
      </c>
      <c r="E279" s="34"/>
      <c r="F279" s="34"/>
      <c r="G279" s="35" t="str">
        <f>IFERROR(IF(C279="REF. NÃO CADASTRADA NA TABELA","",IF($C$9="","",IF($F$9="","",IF(B279="","",IF($C$9=119,VLOOKUP(B279,'Tabela 130 '!$A$5:$T$2711,MATCH($F$9,'Tabela 130 '!$A$5:$T$5,0),FALSE),IF($C$9=553,VLOOKUP(B279,#REF!,MATCH($F$9,#REF!,0),FALSE),IF($C$9=552,VLOOKUP(B279,#REF!,MATCH($F$9,#REF!,0),FALSE),IF($C$9=551,VLOOKUP(B279,#REF!,MATCH($F$9,#REF!,0),FALSE))))))))),"REF. NÃO CADASTRADA NA TABELA")</f>
        <v/>
      </c>
      <c r="H279" s="36"/>
      <c r="I279" s="37" t="str">
        <f t="shared" si="7"/>
        <v/>
      </c>
      <c r="J279" s="33" t="str">
        <f t="shared" si="8"/>
        <v/>
      </c>
      <c r="K279" s="38" t="str">
        <f>IF($F$6="","",IF(B279="","",IF(C279="REF. NÃO CADASTRADA NA TABELA","",IFERROR(VLOOKUP(B279,#REF!,VLOOKUP($F$6,'BASE CONTÁBIL'!N:O,2,FALSE),FALSE),0))))</f>
        <v/>
      </c>
      <c r="L279" s="35" t="str">
        <f t="shared" si="9"/>
        <v/>
      </c>
      <c r="M279" s="35" t="str">
        <f t="shared" si="10"/>
        <v/>
      </c>
      <c r="N279" s="35" t="str">
        <f t="shared" si="11"/>
        <v/>
      </c>
      <c r="O279" s="35" t="str">
        <f t="shared" si="12"/>
        <v/>
      </c>
      <c r="P279" s="33" t="e">
        <f t="shared" si="13"/>
        <v>#REF!</v>
      </c>
      <c r="Q279" s="2"/>
      <c r="R279" s="2"/>
      <c r="S279" s="2"/>
      <c r="T279" s="2"/>
      <c r="U279" s="2"/>
    </row>
    <row r="280" spans="1:21" ht="12.75" customHeight="1" x14ac:dyDescent="0.2">
      <c r="A280" s="2"/>
      <c r="B280" s="31"/>
      <c r="C280" s="32" t="str">
        <f>IFERROR((IF(B280="","",IF($F$6="","Informar UF / Tabela / Prazo de Pagamento",IF($F$9="","Informar UF / Tabela / Prazo de Pagamento",IF($C$9="","Informar UF / Tabela / Prazo de Pagamento",VLOOKUP(B280,'Tabela 130 '!$A$5:$T$1001,2,FALSE)))))),"REF. NÃO CADASTRADA NA TABELA")</f>
        <v/>
      </c>
      <c r="D280" s="33" t="str">
        <f>IF('FOLHA DE PEDIDO '!B280="","",IF(C280="REF. NÃO CADASTRADA NA TABELA","",VLOOKUP(B280,'Tabela 130 '!$A$5:$AI$801,3,FALSE)))</f>
        <v/>
      </c>
      <c r="E280" s="34"/>
      <c r="F280" s="34"/>
      <c r="G280" s="35" t="str">
        <f>IFERROR(IF(C280="REF. NÃO CADASTRADA NA TABELA","",IF($C$9="","",IF($F$9="","",IF(B280="","",IF($C$9=119,VLOOKUP(B280,'Tabela 130 '!$A$5:$T$2711,MATCH($F$9,'Tabela 130 '!$A$5:$T$5,0),FALSE),IF($C$9=553,VLOOKUP(B280,#REF!,MATCH($F$9,#REF!,0),FALSE),IF($C$9=552,VLOOKUP(B280,#REF!,MATCH($F$9,#REF!,0),FALSE),IF($C$9=551,VLOOKUP(B280,#REF!,MATCH($F$9,#REF!,0),FALSE))))))))),"REF. NÃO CADASTRADA NA TABELA")</f>
        <v/>
      </c>
      <c r="H280" s="36"/>
      <c r="I280" s="37" t="str">
        <f t="shared" si="7"/>
        <v/>
      </c>
      <c r="J280" s="33" t="str">
        <f t="shared" si="8"/>
        <v/>
      </c>
      <c r="K280" s="38" t="str">
        <f>IF($F$6="","",IF(B280="","",IF(C280="REF. NÃO CADASTRADA NA TABELA","",IFERROR(VLOOKUP(B280,#REF!,VLOOKUP($F$6,'BASE CONTÁBIL'!N:O,2,FALSE),FALSE),0))))</f>
        <v/>
      </c>
      <c r="L280" s="35" t="str">
        <f t="shared" si="9"/>
        <v/>
      </c>
      <c r="M280" s="35" t="str">
        <f t="shared" si="10"/>
        <v/>
      </c>
      <c r="N280" s="35" t="str">
        <f t="shared" si="11"/>
        <v/>
      </c>
      <c r="O280" s="35" t="str">
        <f t="shared" si="12"/>
        <v/>
      </c>
      <c r="P280" s="33" t="e">
        <f t="shared" si="13"/>
        <v>#REF!</v>
      </c>
      <c r="Q280" s="2"/>
      <c r="R280" s="2"/>
      <c r="S280" s="2"/>
      <c r="T280" s="2"/>
      <c r="U280" s="2"/>
    </row>
    <row r="281" spans="1:21" ht="12.75" customHeight="1" x14ac:dyDescent="0.2">
      <c r="A281" s="2"/>
      <c r="B281" s="31"/>
      <c r="C281" s="32" t="str">
        <f>IFERROR((IF(B281="","",IF($F$6="","Informar UF / Tabela / Prazo de Pagamento",IF($F$9="","Informar UF / Tabela / Prazo de Pagamento",IF($C$9="","Informar UF / Tabela / Prazo de Pagamento",VLOOKUP(B281,'Tabela 130 '!$A$5:$T$1001,2,FALSE)))))),"REF. NÃO CADASTRADA NA TABELA")</f>
        <v/>
      </c>
      <c r="D281" s="33" t="str">
        <f>IF('FOLHA DE PEDIDO '!B281="","",IF(C281="REF. NÃO CADASTRADA NA TABELA","",VLOOKUP(B281,'Tabela 130 '!$A$5:$AI$801,3,FALSE)))</f>
        <v/>
      </c>
      <c r="E281" s="34"/>
      <c r="F281" s="34"/>
      <c r="G281" s="35" t="str">
        <f>IFERROR(IF(C281="REF. NÃO CADASTRADA NA TABELA","",IF($C$9="","",IF($F$9="","",IF(B281="","",IF($C$9=119,VLOOKUP(B281,'Tabela 130 '!$A$5:$T$2711,MATCH($F$9,'Tabela 130 '!$A$5:$T$5,0),FALSE),IF($C$9=553,VLOOKUP(B281,#REF!,MATCH($F$9,#REF!,0),FALSE),IF($C$9=552,VLOOKUP(B281,#REF!,MATCH($F$9,#REF!,0),FALSE),IF($C$9=551,VLOOKUP(B281,#REF!,MATCH($F$9,#REF!,0),FALSE))))))))),"REF. NÃO CADASTRADA NA TABELA")</f>
        <v/>
      </c>
      <c r="H281" s="36"/>
      <c r="I281" s="37" t="str">
        <f t="shared" si="7"/>
        <v/>
      </c>
      <c r="J281" s="33" t="str">
        <f t="shared" si="8"/>
        <v/>
      </c>
      <c r="K281" s="38" t="str">
        <f>IF($F$6="","",IF(B281="","",IF(C281="REF. NÃO CADASTRADA NA TABELA","",IFERROR(VLOOKUP(B281,#REF!,VLOOKUP($F$6,'BASE CONTÁBIL'!N:O,2,FALSE),FALSE),0))))</f>
        <v/>
      </c>
      <c r="L281" s="35" t="str">
        <f t="shared" si="9"/>
        <v/>
      </c>
      <c r="M281" s="35" t="str">
        <f t="shared" si="10"/>
        <v/>
      </c>
      <c r="N281" s="35" t="str">
        <f t="shared" si="11"/>
        <v/>
      </c>
      <c r="O281" s="35" t="str">
        <f t="shared" si="12"/>
        <v/>
      </c>
      <c r="P281" s="33" t="e">
        <f t="shared" si="13"/>
        <v>#REF!</v>
      </c>
      <c r="Q281" s="2"/>
      <c r="R281" s="2"/>
      <c r="S281" s="2"/>
      <c r="T281" s="2"/>
      <c r="U281" s="2"/>
    </row>
    <row r="282" spans="1:21" ht="12.75" customHeight="1" x14ac:dyDescent="0.2">
      <c r="A282" s="2"/>
      <c r="B282" s="31"/>
      <c r="C282" s="32" t="str">
        <f>IFERROR((IF(B282="","",IF($F$6="","Informar UF / Tabela / Prazo de Pagamento",IF($F$9="","Informar UF / Tabela / Prazo de Pagamento",IF($C$9="","Informar UF / Tabela / Prazo de Pagamento",VLOOKUP(B282,'Tabela 130 '!$A$5:$T$1001,2,FALSE)))))),"REF. NÃO CADASTRADA NA TABELA")</f>
        <v/>
      </c>
      <c r="D282" s="33" t="str">
        <f>IF('FOLHA DE PEDIDO '!B282="","",IF(C282="REF. NÃO CADASTRADA NA TABELA","",VLOOKUP(B282,'Tabela 130 '!$A$5:$AI$801,3,FALSE)))</f>
        <v/>
      </c>
      <c r="E282" s="34"/>
      <c r="F282" s="34"/>
      <c r="G282" s="35" t="str">
        <f>IFERROR(IF(C282="REF. NÃO CADASTRADA NA TABELA","",IF($C$9="","",IF($F$9="","",IF(B282="","",IF($C$9=119,VLOOKUP(B282,'Tabela 130 '!$A$5:$T$2711,MATCH($F$9,'Tabela 130 '!$A$5:$T$5,0),FALSE),IF($C$9=553,VLOOKUP(B282,#REF!,MATCH($F$9,#REF!,0),FALSE),IF($C$9=552,VLOOKUP(B282,#REF!,MATCH($F$9,#REF!,0),FALSE),IF($C$9=551,VLOOKUP(B282,#REF!,MATCH($F$9,#REF!,0),FALSE))))))))),"REF. NÃO CADASTRADA NA TABELA")</f>
        <v/>
      </c>
      <c r="H282" s="36"/>
      <c r="I282" s="37" t="str">
        <f t="shared" si="7"/>
        <v/>
      </c>
      <c r="J282" s="33" t="str">
        <f t="shared" si="8"/>
        <v/>
      </c>
      <c r="K282" s="38" t="str">
        <f>IF($F$6="","",IF(B282="","",IF(C282="REF. NÃO CADASTRADA NA TABELA","",IFERROR(VLOOKUP(B282,#REF!,VLOOKUP($F$6,'BASE CONTÁBIL'!N:O,2,FALSE),FALSE),0))))</f>
        <v/>
      </c>
      <c r="L282" s="35" t="str">
        <f t="shared" si="9"/>
        <v/>
      </c>
      <c r="M282" s="35" t="str">
        <f t="shared" si="10"/>
        <v/>
      </c>
      <c r="N282" s="35" t="str">
        <f t="shared" si="11"/>
        <v/>
      </c>
      <c r="O282" s="35" t="str">
        <f t="shared" si="12"/>
        <v/>
      </c>
      <c r="P282" s="33" t="e">
        <f t="shared" si="13"/>
        <v>#REF!</v>
      </c>
      <c r="Q282" s="2"/>
      <c r="R282" s="2"/>
      <c r="S282" s="2"/>
      <c r="T282" s="2"/>
      <c r="U282" s="2"/>
    </row>
    <row r="283" spans="1:21" ht="12.75" customHeight="1" x14ac:dyDescent="0.2">
      <c r="A283" s="2"/>
      <c r="B283" s="31"/>
      <c r="C283" s="32" t="str">
        <f>IFERROR((IF(B283="","",IF($F$6="","Informar UF / Tabela / Prazo de Pagamento",IF($F$9="","Informar UF / Tabela / Prazo de Pagamento",IF($C$9="","Informar UF / Tabela / Prazo de Pagamento",VLOOKUP(B283,'Tabela 130 '!$A$5:$T$1001,2,FALSE)))))),"REF. NÃO CADASTRADA NA TABELA")</f>
        <v/>
      </c>
      <c r="D283" s="33" t="str">
        <f>IF('FOLHA DE PEDIDO '!B283="","",IF(C283="REF. NÃO CADASTRADA NA TABELA","",VLOOKUP(B283,'Tabela 130 '!$A$5:$AI$801,3,FALSE)))</f>
        <v/>
      </c>
      <c r="E283" s="34"/>
      <c r="F283" s="34"/>
      <c r="G283" s="35" t="str">
        <f>IFERROR(IF(C283="REF. NÃO CADASTRADA NA TABELA","",IF($C$9="","",IF($F$9="","",IF(B283="","",IF($C$9=119,VLOOKUP(B283,'Tabela 130 '!$A$5:$T$2711,MATCH($F$9,'Tabela 130 '!$A$5:$T$5,0),FALSE),IF($C$9=553,VLOOKUP(B283,#REF!,MATCH($F$9,#REF!,0),FALSE),IF($C$9=552,VLOOKUP(B283,#REF!,MATCH($F$9,#REF!,0),FALSE),IF($C$9=551,VLOOKUP(B283,#REF!,MATCH($F$9,#REF!,0),FALSE))))))))),"REF. NÃO CADASTRADA NA TABELA")</f>
        <v/>
      </c>
      <c r="H283" s="36"/>
      <c r="I283" s="37" t="str">
        <f t="shared" si="7"/>
        <v/>
      </c>
      <c r="J283" s="33" t="str">
        <f t="shared" si="8"/>
        <v/>
      </c>
      <c r="K283" s="38" t="str">
        <f>IF($F$6="","",IF(B283="","",IF(C283="REF. NÃO CADASTRADA NA TABELA","",IFERROR(VLOOKUP(B283,#REF!,VLOOKUP($F$6,'BASE CONTÁBIL'!N:O,2,FALSE),FALSE),0))))</f>
        <v/>
      </c>
      <c r="L283" s="35" t="str">
        <f t="shared" si="9"/>
        <v/>
      </c>
      <c r="M283" s="35" t="str">
        <f t="shared" si="10"/>
        <v/>
      </c>
      <c r="N283" s="35" t="str">
        <f t="shared" si="11"/>
        <v/>
      </c>
      <c r="O283" s="35" t="str">
        <f t="shared" si="12"/>
        <v/>
      </c>
      <c r="P283" s="33" t="e">
        <f t="shared" si="13"/>
        <v>#REF!</v>
      </c>
      <c r="Q283" s="2"/>
      <c r="R283" s="2"/>
      <c r="S283" s="2"/>
      <c r="T283" s="2"/>
      <c r="U283" s="2"/>
    </row>
    <row r="284" spans="1:21" ht="12.75" customHeight="1" x14ac:dyDescent="0.2">
      <c r="A284" s="2"/>
      <c r="B284" s="31"/>
      <c r="C284" s="32" t="str">
        <f>IFERROR((IF(B284="","",IF($F$6="","Informar UF / Tabela / Prazo de Pagamento",IF($F$9="","Informar UF / Tabela / Prazo de Pagamento",IF($C$9="","Informar UF / Tabela / Prazo de Pagamento",VLOOKUP(B284,'Tabela 130 '!$A$5:$T$1001,2,FALSE)))))),"REF. NÃO CADASTRADA NA TABELA")</f>
        <v/>
      </c>
      <c r="D284" s="33" t="str">
        <f>IF('FOLHA DE PEDIDO '!B284="","",IF(C284="REF. NÃO CADASTRADA NA TABELA","",VLOOKUP(B284,'Tabela 130 '!$A$5:$AI$801,3,FALSE)))</f>
        <v/>
      </c>
      <c r="E284" s="34"/>
      <c r="F284" s="34"/>
      <c r="G284" s="35" t="str">
        <f>IFERROR(IF(C284="REF. NÃO CADASTRADA NA TABELA","",IF($C$9="","",IF($F$9="","",IF(B284="","",IF($C$9=119,VLOOKUP(B284,'Tabela 130 '!$A$5:$T$2711,MATCH($F$9,'Tabela 130 '!$A$5:$T$5,0),FALSE),IF($C$9=553,VLOOKUP(B284,#REF!,MATCH($F$9,#REF!,0),FALSE),IF($C$9=552,VLOOKUP(B284,#REF!,MATCH($F$9,#REF!,0),FALSE),IF($C$9=551,VLOOKUP(B284,#REF!,MATCH($F$9,#REF!,0),FALSE))))))))),"REF. NÃO CADASTRADA NA TABELA")</f>
        <v/>
      </c>
      <c r="H284" s="36"/>
      <c r="I284" s="37" t="str">
        <f t="shared" si="7"/>
        <v/>
      </c>
      <c r="J284" s="33" t="str">
        <f t="shared" si="8"/>
        <v/>
      </c>
      <c r="K284" s="38" t="str">
        <f>IF($F$6="","",IF(B284="","",IF(C284="REF. NÃO CADASTRADA NA TABELA","",IFERROR(VLOOKUP(B284,#REF!,VLOOKUP($F$6,'BASE CONTÁBIL'!N:O,2,FALSE),FALSE),0))))</f>
        <v/>
      </c>
      <c r="L284" s="35" t="str">
        <f t="shared" si="9"/>
        <v/>
      </c>
      <c r="M284" s="35" t="str">
        <f t="shared" si="10"/>
        <v/>
      </c>
      <c r="N284" s="35" t="str">
        <f t="shared" si="11"/>
        <v/>
      </c>
      <c r="O284" s="35" t="str">
        <f t="shared" si="12"/>
        <v/>
      </c>
      <c r="P284" s="33" t="e">
        <f t="shared" si="13"/>
        <v>#REF!</v>
      </c>
      <c r="Q284" s="2"/>
      <c r="R284" s="2"/>
      <c r="S284" s="2"/>
      <c r="T284" s="2"/>
      <c r="U284" s="2"/>
    </row>
    <row r="285" spans="1:21" ht="12.75" customHeight="1" x14ac:dyDescent="0.2">
      <c r="A285" s="2"/>
      <c r="B285" s="31"/>
      <c r="C285" s="32" t="str">
        <f>IFERROR((IF(B285="","",IF($F$6="","Informar UF / Tabela / Prazo de Pagamento",IF($F$9="","Informar UF / Tabela / Prazo de Pagamento",IF($C$9="","Informar UF / Tabela / Prazo de Pagamento",VLOOKUP(B285,'Tabela 130 '!$A$5:$T$1001,2,FALSE)))))),"REF. NÃO CADASTRADA NA TABELA")</f>
        <v/>
      </c>
      <c r="D285" s="33" t="str">
        <f>IF('FOLHA DE PEDIDO '!B285="","",IF(C285="REF. NÃO CADASTRADA NA TABELA","",VLOOKUP(B285,'Tabela 130 '!$A$5:$AI$801,3,FALSE)))</f>
        <v/>
      </c>
      <c r="E285" s="34"/>
      <c r="F285" s="34"/>
      <c r="G285" s="35" t="str">
        <f>IFERROR(IF(C285="REF. NÃO CADASTRADA NA TABELA","",IF($C$9="","",IF($F$9="","",IF(B285="","",IF($C$9=119,VLOOKUP(B285,'Tabela 130 '!$A$5:$T$2711,MATCH($F$9,'Tabela 130 '!$A$5:$T$5,0),FALSE),IF($C$9=553,VLOOKUP(B285,#REF!,MATCH($F$9,#REF!,0),FALSE),IF($C$9=552,VLOOKUP(B285,#REF!,MATCH($F$9,#REF!,0),FALSE),IF($C$9=551,VLOOKUP(B285,#REF!,MATCH($F$9,#REF!,0),FALSE))))))))),"REF. NÃO CADASTRADA NA TABELA")</f>
        <v/>
      </c>
      <c r="H285" s="36"/>
      <c r="I285" s="37" t="str">
        <f t="shared" si="7"/>
        <v/>
      </c>
      <c r="J285" s="33" t="str">
        <f t="shared" si="8"/>
        <v/>
      </c>
      <c r="K285" s="38" t="str">
        <f>IF($F$6="","",IF(B285="","",IF(C285="REF. NÃO CADASTRADA NA TABELA","",IFERROR(VLOOKUP(B285,#REF!,VLOOKUP($F$6,'BASE CONTÁBIL'!N:O,2,FALSE),FALSE),0))))</f>
        <v/>
      </c>
      <c r="L285" s="35" t="str">
        <f t="shared" si="9"/>
        <v/>
      </c>
      <c r="M285" s="35" t="str">
        <f t="shared" si="10"/>
        <v/>
      </c>
      <c r="N285" s="35" t="str">
        <f t="shared" si="11"/>
        <v/>
      </c>
      <c r="O285" s="35" t="str">
        <f t="shared" si="12"/>
        <v/>
      </c>
      <c r="P285" s="33" t="e">
        <f t="shared" si="13"/>
        <v>#REF!</v>
      </c>
      <c r="Q285" s="2"/>
      <c r="R285" s="2"/>
      <c r="S285" s="2"/>
      <c r="T285" s="2"/>
      <c r="U285" s="2"/>
    </row>
    <row r="286" spans="1:21" ht="12.75" customHeight="1" x14ac:dyDescent="0.2">
      <c r="A286" s="2"/>
      <c r="B286" s="31"/>
      <c r="C286" s="32" t="str">
        <f>IFERROR((IF(B286="","",IF($F$6="","Informar UF / Tabela / Prazo de Pagamento",IF($F$9="","Informar UF / Tabela / Prazo de Pagamento",IF($C$9="","Informar UF / Tabela / Prazo de Pagamento",VLOOKUP(B286,'Tabela 130 '!$A$5:$T$1001,2,FALSE)))))),"REF. NÃO CADASTRADA NA TABELA")</f>
        <v/>
      </c>
      <c r="D286" s="33" t="str">
        <f>IF('FOLHA DE PEDIDO '!B286="","",IF(C286="REF. NÃO CADASTRADA NA TABELA","",VLOOKUP(B286,'Tabela 130 '!$A$5:$AI$801,3,FALSE)))</f>
        <v/>
      </c>
      <c r="E286" s="34"/>
      <c r="F286" s="34"/>
      <c r="G286" s="35" t="str">
        <f>IFERROR(IF(C286="REF. NÃO CADASTRADA NA TABELA","",IF($C$9="","",IF($F$9="","",IF(B286="","",IF($C$9=119,VLOOKUP(B286,'Tabela 130 '!$A$5:$T$2711,MATCH($F$9,'Tabela 130 '!$A$5:$T$5,0),FALSE),IF($C$9=553,VLOOKUP(B286,#REF!,MATCH($F$9,#REF!,0),FALSE),IF($C$9=552,VLOOKUP(B286,#REF!,MATCH($F$9,#REF!,0),FALSE),IF($C$9=551,VLOOKUP(B286,#REF!,MATCH($F$9,#REF!,0),FALSE))))))))),"REF. NÃO CADASTRADA NA TABELA")</f>
        <v/>
      </c>
      <c r="H286" s="36"/>
      <c r="I286" s="37" t="str">
        <f t="shared" si="7"/>
        <v/>
      </c>
      <c r="J286" s="33" t="str">
        <f t="shared" si="8"/>
        <v/>
      </c>
      <c r="K286" s="38" t="str">
        <f>IF($F$6="","",IF(B286="","",IF(C286="REF. NÃO CADASTRADA NA TABELA","",IFERROR(VLOOKUP(B286,#REF!,VLOOKUP($F$6,'BASE CONTÁBIL'!N:O,2,FALSE),FALSE),0))))</f>
        <v/>
      </c>
      <c r="L286" s="35" t="str">
        <f t="shared" si="9"/>
        <v/>
      </c>
      <c r="M286" s="35" t="str">
        <f t="shared" si="10"/>
        <v/>
      </c>
      <c r="N286" s="35" t="str">
        <f t="shared" si="11"/>
        <v/>
      </c>
      <c r="O286" s="35" t="str">
        <f t="shared" si="12"/>
        <v/>
      </c>
      <c r="P286" s="33" t="e">
        <f t="shared" si="13"/>
        <v>#REF!</v>
      </c>
      <c r="Q286" s="2"/>
      <c r="R286" s="2"/>
      <c r="S286" s="2"/>
      <c r="T286" s="2"/>
      <c r="U286" s="2"/>
    </row>
    <row r="287" spans="1:21" ht="12.75" customHeight="1" x14ac:dyDescent="0.2">
      <c r="A287" s="2"/>
      <c r="B287" s="31"/>
      <c r="C287" s="32" t="str">
        <f>IFERROR((IF(B287="","",IF($F$6="","Informar UF / Tabela / Prazo de Pagamento",IF($F$9="","Informar UF / Tabela / Prazo de Pagamento",IF($C$9="","Informar UF / Tabela / Prazo de Pagamento",VLOOKUP(B287,'Tabela 130 '!$A$5:$T$1001,2,FALSE)))))),"REF. NÃO CADASTRADA NA TABELA")</f>
        <v/>
      </c>
      <c r="D287" s="33" t="str">
        <f>IF('FOLHA DE PEDIDO '!B287="","",IF(C287="REF. NÃO CADASTRADA NA TABELA","",VLOOKUP(B287,'Tabela 130 '!$A$5:$AI$801,3,FALSE)))</f>
        <v/>
      </c>
      <c r="E287" s="34"/>
      <c r="F287" s="34"/>
      <c r="G287" s="35" t="str">
        <f>IFERROR(IF(C287="REF. NÃO CADASTRADA NA TABELA","",IF($C$9="","",IF($F$9="","",IF(B287="","",IF($C$9=119,VLOOKUP(B287,'Tabela 130 '!$A$5:$T$2711,MATCH($F$9,'Tabela 130 '!$A$5:$T$5,0),FALSE),IF($C$9=553,VLOOKUP(B287,#REF!,MATCH($F$9,#REF!,0),FALSE),IF($C$9=552,VLOOKUP(B287,#REF!,MATCH($F$9,#REF!,0),FALSE),IF($C$9=551,VLOOKUP(B287,#REF!,MATCH($F$9,#REF!,0),FALSE))))))))),"REF. NÃO CADASTRADA NA TABELA")</f>
        <v/>
      </c>
      <c r="H287" s="36"/>
      <c r="I287" s="37" t="str">
        <f t="shared" si="7"/>
        <v/>
      </c>
      <c r="J287" s="33" t="str">
        <f t="shared" si="8"/>
        <v/>
      </c>
      <c r="K287" s="38" t="str">
        <f>IF($F$6="","",IF(B287="","",IF(C287="REF. NÃO CADASTRADA NA TABELA","",IFERROR(VLOOKUP(B287,#REF!,VLOOKUP($F$6,'BASE CONTÁBIL'!N:O,2,FALSE),FALSE),0))))</f>
        <v/>
      </c>
      <c r="L287" s="35" t="str">
        <f t="shared" si="9"/>
        <v/>
      </c>
      <c r="M287" s="35" t="str">
        <f t="shared" si="10"/>
        <v/>
      </c>
      <c r="N287" s="35" t="str">
        <f t="shared" si="11"/>
        <v/>
      </c>
      <c r="O287" s="35" t="str">
        <f t="shared" si="12"/>
        <v/>
      </c>
      <c r="P287" s="33" t="e">
        <f t="shared" si="13"/>
        <v>#REF!</v>
      </c>
      <c r="Q287" s="2"/>
      <c r="R287" s="2"/>
      <c r="S287" s="2"/>
      <c r="T287" s="2"/>
      <c r="U287" s="2"/>
    </row>
    <row r="288" spans="1:21" ht="12.75" customHeight="1" x14ac:dyDescent="0.2">
      <c r="A288" s="2"/>
      <c r="B288" s="31"/>
      <c r="C288" s="32" t="str">
        <f>IFERROR((IF(B288="","",IF($F$6="","Informar UF / Tabela / Prazo de Pagamento",IF($F$9="","Informar UF / Tabela / Prazo de Pagamento",IF($C$9="","Informar UF / Tabela / Prazo de Pagamento",VLOOKUP(B288,'Tabela 130 '!$A$5:$T$1001,2,FALSE)))))),"REF. NÃO CADASTRADA NA TABELA")</f>
        <v/>
      </c>
      <c r="D288" s="33" t="str">
        <f>IF('FOLHA DE PEDIDO '!B288="","",IF(C288="REF. NÃO CADASTRADA NA TABELA","",VLOOKUP(B288,'Tabela 130 '!$A$5:$AI$801,3,FALSE)))</f>
        <v/>
      </c>
      <c r="E288" s="34"/>
      <c r="F288" s="34"/>
      <c r="G288" s="35" t="str">
        <f>IFERROR(IF(C288="REF. NÃO CADASTRADA NA TABELA","",IF($C$9="","",IF($F$9="","",IF(B288="","",IF($C$9=119,VLOOKUP(B288,'Tabela 130 '!$A$5:$T$2711,MATCH($F$9,'Tabela 130 '!$A$5:$T$5,0),FALSE),IF($C$9=553,VLOOKUP(B288,#REF!,MATCH($F$9,#REF!,0),FALSE),IF($C$9=552,VLOOKUP(B288,#REF!,MATCH($F$9,#REF!,0),FALSE),IF($C$9=551,VLOOKUP(B288,#REF!,MATCH($F$9,#REF!,0),FALSE))))))))),"REF. NÃO CADASTRADA NA TABELA")</f>
        <v/>
      </c>
      <c r="H288" s="36"/>
      <c r="I288" s="37" t="str">
        <f t="shared" si="7"/>
        <v/>
      </c>
      <c r="J288" s="33" t="str">
        <f t="shared" si="8"/>
        <v/>
      </c>
      <c r="K288" s="38" t="str">
        <f>IF($F$6="","",IF(B288="","",IF(C288="REF. NÃO CADASTRADA NA TABELA","",IFERROR(VLOOKUP(B288,#REF!,VLOOKUP($F$6,'BASE CONTÁBIL'!N:O,2,FALSE),FALSE),0))))</f>
        <v/>
      </c>
      <c r="L288" s="35" t="str">
        <f t="shared" si="9"/>
        <v/>
      </c>
      <c r="M288" s="35" t="str">
        <f t="shared" si="10"/>
        <v/>
      </c>
      <c r="N288" s="35" t="str">
        <f t="shared" si="11"/>
        <v/>
      </c>
      <c r="O288" s="35" t="str">
        <f t="shared" si="12"/>
        <v/>
      </c>
      <c r="P288" s="33" t="e">
        <f t="shared" si="13"/>
        <v>#REF!</v>
      </c>
      <c r="Q288" s="2"/>
      <c r="R288" s="2"/>
      <c r="S288" s="2"/>
      <c r="T288" s="2"/>
      <c r="U288" s="2"/>
    </row>
    <row r="289" spans="1:21" ht="12.75" customHeight="1" x14ac:dyDescent="0.2">
      <c r="A289" s="2"/>
      <c r="B289" s="31"/>
      <c r="C289" s="32" t="str">
        <f>IFERROR((IF(B289="","",IF($F$6="","Informar UF / Tabela / Prazo de Pagamento",IF($F$9="","Informar UF / Tabela / Prazo de Pagamento",IF($C$9="","Informar UF / Tabela / Prazo de Pagamento",VLOOKUP(B289,'Tabela 130 '!$A$5:$T$1001,2,FALSE)))))),"REF. NÃO CADASTRADA NA TABELA")</f>
        <v/>
      </c>
      <c r="D289" s="33" t="str">
        <f>IF('FOLHA DE PEDIDO '!B289="","",IF(C289="REF. NÃO CADASTRADA NA TABELA","",VLOOKUP(B289,'Tabela 130 '!$A$5:$AI$801,3,FALSE)))</f>
        <v/>
      </c>
      <c r="E289" s="34"/>
      <c r="F289" s="34"/>
      <c r="G289" s="35" t="str">
        <f>IFERROR(IF(C289="REF. NÃO CADASTRADA NA TABELA","",IF($C$9="","",IF($F$9="","",IF(B289="","",IF($C$9=119,VLOOKUP(B289,'Tabela 130 '!$A$5:$T$2711,MATCH($F$9,'Tabela 130 '!$A$5:$T$5,0),FALSE),IF($C$9=553,VLOOKUP(B289,#REF!,MATCH($F$9,#REF!,0),FALSE),IF($C$9=552,VLOOKUP(B289,#REF!,MATCH($F$9,#REF!,0),FALSE),IF($C$9=551,VLOOKUP(B289,#REF!,MATCH($F$9,#REF!,0),FALSE))))))))),"REF. NÃO CADASTRADA NA TABELA")</f>
        <v/>
      </c>
      <c r="H289" s="36"/>
      <c r="I289" s="37" t="str">
        <f t="shared" si="7"/>
        <v/>
      </c>
      <c r="J289" s="33" t="str">
        <f t="shared" si="8"/>
        <v/>
      </c>
      <c r="K289" s="38" t="str">
        <f>IF($F$6="","",IF(B289="","",IF(C289="REF. NÃO CADASTRADA NA TABELA","",IFERROR(VLOOKUP(B289,#REF!,VLOOKUP($F$6,'BASE CONTÁBIL'!N:O,2,FALSE),FALSE),0))))</f>
        <v/>
      </c>
      <c r="L289" s="35" t="str">
        <f t="shared" si="9"/>
        <v/>
      </c>
      <c r="M289" s="35" t="str">
        <f t="shared" si="10"/>
        <v/>
      </c>
      <c r="N289" s="35" t="str">
        <f t="shared" si="11"/>
        <v/>
      </c>
      <c r="O289" s="35" t="str">
        <f t="shared" si="12"/>
        <v/>
      </c>
      <c r="P289" s="33" t="e">
        <f t="shared" si="13"/>
        <v>#REF!</v>
      </c>
      <c r="Q289" s="2"/>
      <c r="R289" s="2"/>
      <c r="S289" s="2"/>
      <c r="T289" s="2"/>
      <c r="U289" s="2"/>
    </row>
    <row r="290" spans="1:21" ht="12.75" customHeight="1" x14ac:dyDescent="0.2">
      <c r="A290" s="2"/>
      <c r="B290" s="31"/>
      <c r="C290" s="32" t="str">
        <f>IFERROR((IF(B290="","",IF($F$6="","Informar UF / Tabela / Prazo de Pagamento",IF($F$9="","Informar UF / Tabela / Prazo de Pagamento",IF($C$9="","Informar UF / Tabela / Prazo de Pagamento",VLOOKUP(B290,'Tabela 130 '!$A$5:$T$1001,2,FALSE)))))),"REF. NÃO CADASTRADA NA TABELA")</f>
        <v/>
      </c>
      <c r="D290" s="33" t="str">
        <f>IF('FOLHA DE PEDIDO '!B290="","",IF(C290="REF. NÃO CADASTRADA NA TABELA","",VLOOKUP(B290,'Tabela 130 '!$A$5:$AI$801,3,FALSE)))</f>
        <v/>
      </c>
      <c r="E290" s="34"/>
      <c r="F290" s="34"/>
      <c r="G290" s="35" t="str">
        <f>IFERROR(IF(C290="REF. NÃO CADASTRADA NA TABELA","",IF($C$9="","",IF($F$9="","",IF(B290="","",IF($C$9=119,VLOOKUP(B290,'Tabela 130 '!$A$5:$T$2711,MATCH($F$9,'Tabela 130 '!$A$5:$T$5,0),FALSE),IF($C$9=553,VLOOKUP(B290,#REF!,MATCH($F$9,#REF!,0),FALSE),IF($C$9=552,VLOOKUP(B290,#REF!,MATCH($F$9,#REF!,0),FALSE),IF($C$9=551,VLOOKUP(B290,#REF!,MATCH($F$9,#REF!,0),FALSE))))))))),"REF. NÃO CADASTRADA NA TABELA")</f>
        <v/>
      </c>
      <c r="H290" s="36"/>
      <c r="I290" s="37" t="str">
        <f t="shared" si="7"/>
        <v/>
      </c>
      <c r="J290" s="33" t="str">
        <f t="shared" si="8"/>
        <v/>
      </c>
      <c r="K290" s="38" t="str">
        <f>IF($F$6="","",IF(B290="","",IF(C290="REF. NÃO CADASTRADA NA TABELA","",IFERROR(VLOOKUP(B290,#REF!,VLOOKUP($F$6,'BASE CONTÁBIL'!N:O,2,FALSE),FALSE),0))))</f>
        <v/>
      </c>
      <c r="L290" s="35" t="str">
        <f t="shared" si="9"/>
        <v/>
      </c>
      <c r="M290" s="35" t="str">
        <f t="shared" si="10"/>
        <v/>
      </c>
      <c r="N290" s="35" t="str">
        <f t="shared" si="11"/>
        <v/>
      </c>
      <c r="O290" s="35" t="str">
        <f t="shared" si="12"/>
        <v/>
      </c>
      <c r="P290" s="33" t="e">
        <f t="shared" si="13"/>
        <v>#REF!</v>
      </c>
      <c r="Q290" s="2"/>
      <c r="R290" s="2"/>
      <c r="S290" s="2"/>
      <c r="T290" s="2"/>
      <c r="U290" s="2"/>
    </row>
    <row r="291" spans="1:21" ht="12.75" customHeight="1" x14ac:dyDescent="0.2">
      <c r="A291" s="2"/>
      <c r="B291" s="31"/>
      <c r="C291" s="32" t="str">
        <f>IFERROR((IF(B291="","",IF($F$6="","Informar UF / Tabela / Prazo de Pagamento",IF($F$9="","Informar UF / Tabela / Prazo de Pagamento",IF($C$9="","Informar UF / Tabela / Prazo de Pagamento",VLOOKUP(B291,'Tabela 130 '!$A$5:$T$1001,2,FALSE)))))),"REF. NÃO CADASTRADA NA TABELA")</f>
        <v/>
      </c>
      <c r="D291" s="33" t="str">
        <f>IF('FOLHA DE PEDIDO '!B291="","",IF(C291="REF. NÃO CADASTRADA NA TABELA","",VLOOKUP(B291,'Tabela 130 '!$A$5:$AI$801,3,FALSE)))</f>
        <v/>
      </c>
      <c r="E291" s="34"/>
      <c r="F291" s="34"/>
      <c r="G291" s="35" t="str">
        <f>IFERROR(IF(C291="REF. NÃO CADASTRADA NA TABELA","",IF($C$9="","",IF($F$9="","",IF(B291="","",IF($C$9=119,VLOOKUP(B291,'Tabela 130 '!$A$5:$T$2711,MATCH($F$9,'Tabela 130 '!$A$5:$T$5,0),FALSE),IF($C$9=553,VLOOKUP(B291,#REF!,MATCH($F$9,#REF!,0),FALSE),IF($C$9=552,VLOOKUP(B291,#REF!,MATCH($F$9,#REF!,0),FALSE),IF($C$9=551,VLOOKUP(B291,#REF!,MATCH($F$9,#REF!,0),FALSE))))))))),"REF. NÃO CADASTRADA NA TABELA")</f>
        <v/>
      </c>
      <c r="H291" s="36"/>
      <c r="I291" s="37" t="str">
        <f t="shared" si="7"/>
        <v/>
      </c>
      <c r="J291" s="33" t="str">
        <f t="shared" si="8"/>
        <v/>
      </c>
      <c r="K291" s="38" t="str">
        <f>IF($F$6="","",IF(B291="","",IF(C291="REF. NÃO CADASTRADA NA TABELA","",IFERROR(VLOOKUP(B291,#REF!,VLOOKUP($F$6,'BASE CONTÁBIL'!N:O,2,FALSE),FALSE),0))))</f>
        <v/>
      </c>
      <c r="L291" s="35" t="str">
        <f t="shared" si="9"/>
        <v/>
      </c>
      <c r="M291" s="35" t="str">
        <f t="shared" si="10"/>
        <v/>
      </c>
      <c r="N291" s="35" t="str">
        <f t="shared" si="11"/>
        <v/>
      </c>
      <c r="O291" s="35" t="str">
        <f t="shared" si="12"/>
        <v/>
      </c>
      <c r="P291" s="33" t="e">
        <f t="shared" si="13"/>
        <v>#REF!</v>
      </c>
      <c r="Q291" s="2"/>
      <c r="R291" s="2"/>
      <c r="S291" s="2"/>
      <c r="T291" s="2"/>
      <c r="U291" s="2"/>
    </row>
    <row r="292" spans="1:21" ht="12.75" customHeight="1" x14ac:dyDescent="0.2">
      <c r="A292" s="2"/>
      <c r="B292" s="31"/>
      <c r="C292" s="32" t="str">
        <f>IFERROR((IF(B292="","",IF($F$6="","Informar UF / Tabela / Prazo de Pagamento",IF($F$9="","Informar UF / Tabela / Prazo de Pagamento",IF($C$9="","Informar UF / Tabela / Prazo de Pagamento",VLOOKUP(B292,'Tabela 130 '!$A$5:$T$1001,2,FALSE)))))),"REF. NÃO CADASTRADA NA TABELA")</f>
        <v/>
      </c>
      <c r="D292" s="33" t="str">
        <f>IF('FOLHA DE PEDIDO '!B292="","",IF(C292="REF. NÃO CADASTRADA NA TABELA","",VLOOKUP(B292,'Tabela 130 '!$A$5:$AI$801,3,FALSE)))</f>
        <v/>
      </c>
      <c r="E292" s="34"/>
      <c r="F292" s="34"/>
      <c r="G292" s="35" t="str">
        <f>IFERROR(IF(C292="REF. NÃO CADASTRADA NA TABELA","",IF($C$9="","",IF($F$9="","",IF(B292="","",IF($C$9=119,VLOOKUP(B292,'Tabela 130 '!$A$5:$T$2711,MATCH($F$9,'Tabela 130 '!$A$5:$T$5,0),FALSE),IF($C$9=553,VLOOKUP(B292,#REF!,MATCH($F$9,#REF!,0),FALSE),IF($C$9=552,VLOOKUP(B292,#REF!,MATCH($F$9,#REF!,0),FALSE),IF($C$9=551,VLOOKUP(B292,#REF!,MATCH($F$9,#REF!,0),FALSE))))))))),"REF. NÃO CADASTRADA NA TABELA")</f>
        <v/>
      </c>
      <c r="H292" s="36"/>
      <c r="I292" s="37" t="str">
        <f t="shared" si="7"/>
        <v/>
      </c>
      <c r="J292" s="33" t="str">
        <f t="shared" si="8"/>
        <v/>
      </c>
      <c r="K292" s="38" t="str">
        <f>IF($F$6="","",IF(B292="","",IF(C292="REF. NÃO CADASTRADA NA TABELA","",IFERROR(VLOOKUP(B292,#REF!,VLOOKUP($F$6,'BASE CONTÁBIL'!N:O,2,FALSE),FALSE),0))))</f>
        <v/>
      </c>
      <c r="L292" s="35" t="str">
        <f t="shared" si="9"/>
        <v/>
      </c>
      <c r="M292" s="35" t="str">
        <f t="shared" si="10"/>
        <v/>
      </c>
      <c r="N292" s="35" t="str">
        <f t="shared" si="11"/>
        <v/>
      </c>
      <c r="O292" s="35" t="str">
        <f t="shared" si="12"/>
        <v/>
      </c>
      <c r="P292" s="33" t="e">
        <f t="shared" si="13"/>
        <v>#REF!</v>
      </c>
      <c r="Q292" s="2"/>
      <c r="R292" s="2"/>
      <c r="S292" s="2"/>
      <c r="T292" s="2"/>
      <c r="U292" s="2"/>
    </row>
    <row r="293" spans="1:21" ht="12.75" customHeight="1" x14ac:dyDescent="0.2">
      <c r="A293" s="2"/>
      <c r="B293" s="31"/>
      <c r="C293" s="32" t="str">
        <f>IFERROR((IF(B293="","",IF($F$6="","Informar UF / Tabela / Prazo de Pagamento",IF($F$9="","Informar UF / Tabela / Prazo de Pagamento",IF($C$9="","Informar UF / Tabela / Prazo de Pagamento",VLOOKUP(B293,'Tabela 130 '!$A$5:$T$1001,2,FALSE)))))),"REF. NÃO CADASTRADA NA TABELA")</f>
        <v/>
      </c>
      <c r="D293" s="33" t="str">
        <f>IF('FOLHA DE PEDIDO '!B293="","",IF(C293="REF. NÃO CADASTRADA NA TABELA","",VLOOKUP(B293,'Tabela 130 '!$A$5:$AI$801,3,FALSE)))</f>
        <v/>
      </c>
      <c r="E293" s="34"/>
      <c r="F293" s="34"/>
      <c r="G293" s="35" t="str">
        <f>IFERROR(IF(C293="REF. NÃO CADASTRADA NA TABELA","",IF($C$9="","",IF($F$9="","",IF(B293="","",IF($C$9=119,VLOOKUP(B293,'Tabela 130 '!$A$5:$T$2711,MATCH($F$9,'Tabela 130 '!$A$5:$T$5,0),FALSE),IF($C$9=553,VLOOKUP(B293,#REF!,MATCH($F$9,#REF!,0),FALSE),IF($C$9=552,VLOOKUP(B293,#REF!,MATCH($F$9,#REF!,0),FALSE),IF($C$9=551,VLOOKUP(B293,#REF!,MATCH($F$9,#REF!,0),FALSE))))))))),"REF. NÃO CADASTRADA NA TABELA")</f>
        <v/>
      </c>
      <c r="H293" s="36"/>
      <c r="I293" s="37" t="str">
        <f t="shared" si="7"/>
        <v/>
      </c>
      <c r="J293" s="33" t="str">
        <f t="shared" si="8"/>
        <v/>
      </c>
      <c r="K293" s="38" t="str">
        <f>IF($F$6="","",IF(B293="","",IF(C293="REF. NÃO CADASTRADA NA TABELA","",IFERROR(VLOOKUP(B293,#REF!,VLOOKUP($F$6,'BASE CONTÁBIL'!N:O,2,FALSE),FALSE),0))))</f>
        <v/>
      </c>
      <c r="L293" s="35" t="str">
        <f t="shared" si="9"/>
        <v/>
      </c>
      <c r="M293" s="35" t="str">
        <f t="shared" si="10"/>
        <v/>
      </c>
      <c r="N293" s="35" t="str">
        <f t="shared" si="11"/>
        <v/>
      </c>
      <c r="O293" s="35" t="str">
        <f t="shared" si="12"/>
        <v/>
      </c>
      <c r="P293" s="33" t="e">
        <f t="shared" si="13"/>
        <v>#REF!</v>
      </c>
      <c r="Q293" s="2"/>
      <c r="R293" s="2"/>
      <c r="S293" s="2"/>
      <c r="T293" s="2"/>
      <c r="U293" s="2"/>
    </row>
    <row r="294" spans="1:21" ht="12.75" customHeight="1" x14ac:dyDescent="0.2">
      <c r="A294" s="2"/>
      <c r="B294" s="31"/>
      <c r="C294" s="32" t="str">
        <f>IFERROR((IF(B294="","",IF($F$6="","Informar UF / Tabela / Prazo de Pagamento",IF($F$9="","Informar UF / Tabela / Prazo de Pagamento",IF($C$9="","Informar UF / Tabela / Prazo de Pagamento",VLOOKUP(B294,'Tabela 130 '!$A$5:$T$1001,2,FALSE)))))),"REF. NÃO CADASTRADA NA TABELA")</f>
        <v/>
      </c>
      <c r="D294" s="33" t="str">
        <f>IF('FOLHA DE PEDIDO '!B294="","",IF(C294="REF. NÃO CADASTRADA NA TABELA","",VLOOKUP(B294,'Tabela 130 '!$A$5:$AI$801,3,FALSE)))</f>
        <v/>
      </c>
      <c r="E294" s="34"/>
      <c r="F294" s="34"/>
      <c r="G294" s="35" t="str">
        <f>IFERROR(IF(C294="REF. NÃO CADASTRADA NA TABELA","",IF($C$9="","",IF($F$9="","",IF(B294="","",IF($C$9=119,VLOOKUP(B294,'Tabela 130 '!$A$5:$T$2711,MATCH($F$9,'Tabela 130 '!$A$5:$T$5,0),FALSE),IF($C$9=553,VLOOKUP(B294,#REF!,MATCH($F$9,#REF!,0),FALSE),IF($C$9=552,VLOOKUP(B294,#REF!,MATCH($F$9,#REF!,0),FALSE),IF($C$9=551,VLOOKUP(B294,#REF!,MATCH($F$9,#REF!,0),FALSE))))))))),"REF. NÃO CADASTRADA NA TABELA")</f>
        <v/>
      </c>
      <c r="H294" s="36"/>
      <c r="I294" s="37" t="str">
        <f t="shared" si="7"/>
        <v/>
      </c>
      <c r="J294" s="33" t="str">
        <f t="shared" si="8"/>
        <v/>
      </c>
      <c r="K294" s="38" t="str">
        <f>IF($F$6="","",IF(B294="","",IF(C294="REF. NÃO CADASTRADA NA TABELA","",IFERROR(VLOOKUP(B294,#REF!,VLOOKUP($F$6,'BASE CONTÁBIL'!N:O,2,FALSE),FALSE),0))))</f>
        <v/>
      </c>
      <c r="L294" s="35" t="str">
        <f t="shared" si="9"/>
        <v/>
      </c>
      <c r="M294" s="35" t="str">
        <f t="shared" si="10"/>
        <v/>
      </c>
      <c r="N294" s="35" t="str">
        <f t="shared" si="11"/>
        <v/>
      </c>
      <c r="O294" s="35" t="str">
        <f t="shared" si="12"/>
        <v/>
      </c>
      <c r="P294" s="33" t="e">
        <f t="shared" si="13"/>
        <v>#REF!</v>
      </c>
      <c r="Q294" s="2"/>
      <c r="R294" s="2"/>
      <c r="S294" s="2"/>
      <c r="T294" s="2"/>
      <c r="U294" s="2"/>
    </row>
    <row r="295" spans="1:21" ht="12.75" customHeight="1" x14ac:dyDescent="0.2">
      <c r="A295" s="2"/>
      <c r="B295" s="31"/>
      <c r="C295" s="32" t="str">
        <f>IFERROR((IF(B295="","",IF($F$6="","Informar UF / Tabela / Prazo de Pagamento",IF($F$9="","Informar UF / Tabela / Prazo de Pagamento",IF($C$9="","Informar UF / Tabela / Prazo de Pagamento",VLOOKUP(B295,'Tabela 130 '!$A$5:$T$1001,2,FALSE)))))),"REF. NÃO CADASTRADA NA TABELA")</f>
        <v/>
      </c>
      <c r="D295" s="33" t="str">
        <f>IF('FOLHA DE PEDIDO '!B295="","",IF(C295="REF. NÃO CADASTRADA NA TABELA","",VLOOKUP(B295,'Tabela 130 '!$A$5:$AI$801,3,FALSE)))</f>
        <v/>
      </c>
      <c r="E295" s="34"/>
      <c r="F295" s="34"/>
      <c r="G295" s="35" t="str">
        <f>IFERROR(IF(C295="REF. NÃO CADASTRADA NA TABELA","",IF($C$9="","",IF($F$9="","",IF(B295="","",IF($C$9=119,VLOOKUP(B295,'Tabela 130 '!$A$5:$T$2711,MATCH($F$9,'Tabela 130 '!$A$5:$T$5,0),FALSE),IF($C$9=553,VLOOKUP(B295,#REF!,MATCH($F$9,#REF!,0),FALSE),IF($C$9=552,VLOOKUP(B295,#REF!,MATCH($F$9,#REF!,0),FALSE),IF($C$9=551,VLOOKUP(B295,#REF!,MATCH($F$9,#REF!,0),FALSE))))))))),"REF. NÃO CADASTRADA NA TABELA")</f>
        <v/>
      </c>
      <c r="H295" s="36"/>
      <c r="I295" s="37" t="str">
        <f t="shared" si="7"/>
        <v/>
      </c>
      <c r="J295" s="33" t="str">
        <f t="shared" si="8"/>
        <v/>
      </c>
      <c r="K295" s="38" t="str">
        <f>IF($F$6="","",IF(B295="","",IF(C295="REF. NÃO CADASTRADA NA TABELA","",IFERROR(VLOOKUP(B295,#REF!,VLOOKUP($F$6,'BASE CONTÁBIL'!N:O,2,FALSE),FALSE),0))))</f>
        <v/>
      </c>
      <c r="L295" s="35" t="str">
        <f t="shared" si="9"/>
        <v/>
      </c>
      <c r="M295" s="35" t="str">
        <f t="shared" si="10"/>
        <v/>
      </c>
      <c r="N295" s="35" t="str">
        <f t="shared" si="11"/>
        <v/>
      </c>
      <c r="O295" s="35" t="str">
        <f t="shared" si="12"/>
        <v/>
      </c>
      <c r="P295" s="33" t="e">
        <f t="shared" si="13"/>
        <v>#REF!</v>
      </c>
      <c r="Q295" s="2"/>
      <c r="R295" s="2"/>
      <c r="S295" s="2"/>
      <c r="T295" s="2"/>
      <c r="U295" s="2"/>
    </row>
    <row r="296" spans="1:21" ht="12.75" customHeight="1" x14ac:dyDescent="0.2">
      <c r="A296" s="2"/>
      <c r="B296" s="31"/>
      <c r="C296" s="32" t="str">
        <f>IFERROR((IF(B296="","",IF($F$6="","Informar UF / Tabela / Prazo de Pagamento",IF($F$9="","Informar UF / Tabela / Prazo de Pagamento",IF($C$9="","Informar UF / Tabela / Prazo de Pagamento",VLOOKUP(B296,'Tabela 130 '!$A$5:$T$1001,2,FALSE)))))),"REF. NÃO CADASTRADA NA TABELA")</f>
        <v/>
      </c>
      <c r="D296" s="33" t="str">
        <f>IF('FOLHA DE PEDIDO '!B296="","",IF(C296="REF. NÃO CADASTRADA NA TABELA","",VLOOKUP(B296,'Tabela 130 '!$A$5:$AI$801,3,FALSE)))</f>
        <v/>
      </c>
      <c r="E296" s="34"/>
      <c r="F296" s="34"/>
      <c r="G296" s="35" t="str">
        <f>IFERROR(IF(C296="REF. NÃO CADASTRADA NA TABELA","",IF($C$9="","",IF($F$9="","",IF(B296="","",IF($C$9=119,VLOOKUP(B296,'Tabela 130 '!$A$5:$T$2711,MATCH($F$9,'Tabela 130 '!$A$5:$T$5,0),FALSE),IF($C$9=553,VLOOKUP(B296,#REF!,MATCH($F$9,#REF!,0),FALSE),IF($C$9=552,VLOOKUP(B296,#REF!,MATCH($F$9,#REF!,0),FALSE),IF($C$9=551,VLOOKUP(B296,#REF!,MATCH($F$9,#REF!,0),FALSE))))))))),"REF. NÃO CADASTRADA NA TABELA")</f>
        <v/>
      </c>
      <c r="H296" s="36"/>
      <c r="I296" s="37" t="str">
        <f t="shared" si="7"/>
        <v/>
      </c>
      <c r="J296" s="33" t="str">
        <f t="shared" si="8"/>
        <v/>
      </c>
      <c r="K296" s="38" t="str">
        <f>IF($F$6="","",IF(B296="","",IF(C296="REF. NÃO CADASTRADA NA TABELA","",IFERROR(VLOOKUP(B296,#REF!,VLOOKUP($F$6,'BASE CONTÁBIL'!N:O,2,FALSE),FALSE),0))))</f>
        <v/>
      </c>
      <c r="L296" s="35" t="str">
        <f t="shared" si="9"/>
        <v/>
      </c>
      <c r="M296" s="35" t="str">
        <f t="shared" si="10"/>
        <v/>
      </c>
      <c r="N296" s="35" t="str">
        <f t="shared" si="11"/>
        <v/>
      </c>
      <c r="O296" s="35" t="str">
        <f t="shared" si="12"/>
        <v/>
      </c>
      <c r="P296" s="33" t="e">
        <f t="shared" si="13"/>
        <v>#REF!</v>
      </c>
      <c r="Q296" s="2"/>
      <c r="R296" s="2"/>
      <c r="S296" s="2"/>
      <c r="T296" s="2"/>
      <c r="U296" s="2"/>
    </row>
    <row r="297" spans="1:21" ht="12.75" customHeight="1" x14ac:dyDescent="0.2">
      <c r="A297" s="2"/>
      <c r="B297" s="31"/>
      <c r="C297" s="32" t="str">
        <f>IFERROR((IF(B297="","",IF($F$6="","Informar UF / Tabela / Prazo de Pagamento",IF($F$9="","Informar UF / Tabela / Prazo de Pagamento",IF($C$9="","Informar UF / Tabela / Prazo de Pagamento",VLOOKUP(B297,'Tabela 130 '!$A$5:$T$1001,2,FALSE)))))),"REF. NÃO CADASTRADA NA TABELA")</f>
        <v/>
      </c>
      <c r="D297" s="33" t="str">
        <f>IF('FOLHA DE PEDIDO '!B297="","",IF(C297="REF. NÃO CADASTRADA NA TABELA","",VLOOKUP(B297,'Tabela 130 '!$A$5:$AI$801,3,FALSE)))</f>
        <v/>
      </c>
      <c r="E297" s="34"/>
      <c r="F297" s="34"/>
      <c r="G297" s="35" t="str">
        <f>IFERROR(IF(C297="REF. NÃO CADASTRADA NA TABELA","",IF($C$9="","",IF($F$9="","",IF(B297="","",IF($C$9=119,VLOOKUP(B297,'Tabela 130 '!$A$5:$T$2711,MATCH($F$9,'Tabela 130 '!$A$5:$T$5,0),FALSE),IF($C$9=553,VLOOKUP(B297,#REF!,MATCH($F$9,#REF!,0),FALSE),IF($C$9=552,VLOOKUP(B297,#REF!,MATCH($F$9,#REF!,0),FALSE),IF($C$9=551,VLOOKUP(B297,#REF!,MATCH($F$9,#REF!,0),FALSE))))))))),"REF. NÃO CADASTRADA NA TABELA")</f>
        <v/>
      </c>
      <c r="H297" s="36"/>
      <c r="I297" s="37" t="str">
        <f t="shared" si="7"/>
        <v/>
      </c>
      <c r="J297" s="33" t="str">
        <f t="shared" si="8"/>
        <v/>
      </c>
      <c r="K297" s="38" t="str">
        <f>IF($F$6="","",IF(B297="","",IF(C297="REF. NÃO CADASTRADA NA TABELA","",IFERROR(VLOOKUP(B297,#REF!,VLOOKUP($F$6,'BASE CONTÁBIL'!N:O,2,FALSE),FALSE),0))))</f>
        <v/>
      </c>
      <c r="L297" s="35" t="str">
        <f t="shared" si="9"/>
        <v/>
      </c>
      <c r="M297" s="35" t="str">
        <f t="shared" si="10"/>
        <v/>
      </c>
      <c r="N297" s="35" t="str">
        <f t="shared" si="11"/>
        <v/>
      </c>
      <c r="O297" s="35" t="str">
        <f t="shared" si="12"/>
        <v/>
      </c>
      <c r="P297" s="33" t="e">
        <f t="shared" si="13"/>
        <v>#REF!</v>
      </c>
      <c r="Q297" s="2"/>
      <c r="R297" s="2"/>
      <c r="S297" s="2"/>
      <c r="T297" s="2"/>
      <c r="U297" s="2"/>
    </row>
    <row r="298" spans="1:21" ht="12.75" customHeight="1" x14ac:dyDescent="0.2">
      <c r="A298" s="2"/>
      <c r="B298" s="31"/>
      <c r="C298" s="32" t="str">
        <f>IFERROR((IF(B298="","",IF($F$6="","Informar UF / Tabela / Prazo de Pagamento",IF($F$9="","Informar UF / Tabela / Prazo de Pagamento",IF($C$9="","Informar UF / Tabela / Prazo de Pagamento",VLOOKUP(B298,'Tabela 130 '!$A$5:$T$1001,2,FALSE)))))),"REF. NÃO CADASTRADA NA TABELA")</f>
        <v/>
      </c>
      <c r="D298" s="33" t="str">
        <f>IF('FOLHA DE PEDIDO '!B298="","",IF(C298="REF. NÃO CADASTRADA NA TABELA","",VLOOKUP(B298,'Tabela 130 '!$A$5:$AI$801,3,FALSE)))</f>
        <v/>
      </c>
      <c r="E298" s="34"/>
      <c r="F298" s="34"/>
      <c r="G298" s="35" t="str">
        <f>IFERROR(IF(C298="REF. NÃO CADASTRADA NA TABELA","",IF($C$9="","",IF($F$9="","",IF(B298="","",IF($C$9=119,VLOOKUP(B298,'Tabela 130 '!$A$5:$T$2711,MATCH($F$9,'Tabela 130 '!$A$5:$T$5,0),FALSE),IF($C$9=553,VLOOKUP(B298,#REF!,MATCH($F$9,#REF!,0),FALSE),IF($C$9=552,VLOOKUP(B298,#REF!,MATCH($F$9,#REF!,0),FALSE),IF($C$9=551,VLOOKUP(B298,#REF!,MATCH($F$9,#REF!,0),FALSE))))))))),"REF. NÃO CADASTRADA NA TABELA")</f>
        <v/>
      </c>
      <c r="H298" s="36"/>
      <c r="I298" s="37" t="str">
        <f t="shared" si="7"/>
        <v/>
      </c>
      <c r="J298" s="33" t="str">
        <f t="shared" si="8"/>
        <v/>
      </c>
      <c r="K298" s="38" t="str">
        <f>IF($F$6="","",IF(B298="","",IF(C298="REF. NÃO CADASTRADA NA TABELA","",IFERROR(VLOOKUP(B298,#REF!,VLOOKUP($F$6,'BASE CONTÁBIL'!N:O,2,FALSE),FALSE),0))))</f>
        <v/>
      </c>
      <c r="L298" s="35" t="str">
        <f t="shared" si="9"/>
        <v/>
      </c>
      <c r="M298" s="35" t="str">
        <f t="shared" si="10"/>
        <v/>
      </c>
      <c r="N298" s="35" t="str">
        <f t="shared" si="11"/>
        <v/>
      </c>
      <c r="O298" s="35" t="str">
        <f t="shared" si="12"/>
        <v/>
      </c>
      <c r="P298" s="33" t="e">
        <f t="shared" si="13"/>
        <v>#REF!</v>
      </c>
      <c r="Q298" s="2"/>
      <c r="R298" s="2"/>
      <c r="S298" s="2"/>
      <c r="T298" s="2"/>
      <c r="U298" s="2"/>
    </row>
    <row r="299" spans="1:21" ht="12.75" customHeight="1" x14ac:dyDescent="0.2">
      <c r="A299" s="2"/>
      <c r="B299" s="31"/>
      <c r="C299" s="32" t="str">
        <f>IFERROR((IF(B299="","",IF($F$6="","Informar UF / Tabela / Prazo de Pagamento",IF($F$9="","Informar UF / Tabela / Prazo de Pagamento",IF($C$9="","Informar UF / Tabela / Prazo de Pagamento",VLOOKUP(B299,'Tabela 130 '!$A$5:$T$1001,2,FALSE)))))),"REF. NÃO CADASTRADA NA TABELA")</f>
        <v/>
      </c>
      <c r="D299" s="33" t="str">
        <f>IF('FOLHA DE PEDIDO '!B299="","",IF(C299="REF. NÃO CADASTRADA NA TABELA","",VLOOKUP(B299,'Tabela 130 '!$A$5:$AI$801,3,FALSE)))</f>
        <v/>
      </c>
      <c r="E299" s="34"/>
      <c r="F299" s="34"/>
      <c r="G299" s="35" t="str">
        <f>IFERROR(IF(C299="REF. NÃO CADASTRADA NA TABELA","",IF($C$9="","",IF($F$9="","",IF(B299="","",IF($C$9=119,VLOOKUP(B299,'Tabela 130 '!$A$5:$T$2711,MATCH($F$9,'Tabela 130 '!$A$5:$T$5,0),FALSE),IF($C$9=553,VLOOKUP(B299,#REF!,MATCH($F$9,#REF!,0),FALSE),IF($C$9=552,VLOOKUP(B299,#REF!,MATCH($F$9,#REF!,0),FALSE),IF($C$9=551,VLOOKUP(B299,#REF!,MATCH($F$9,#REF!,0),FALSE))))))))),"REF. NÃO CADASTRADA NA TABELA")</f>
        <v/>
      </c>
      <c r="H299" s="36"/>
      <c r="I299" s="37" t="str">
        <f t="shared" si="7"/>
        <v/>
      </c>
      <c r="J299" s="33" t="str">
        <f t="shared" si="8"/>
        <v/>
      </c>
      <c r="K299" s="38" t="str">
        <f>IF($F$6="","",IF(B299="","",IF(C299="REF. NÃO CADASTRADA NA TABELA","",IFERROR(VLOOKUP(B299,#REF!,VLOOKUP($F$6,'BASE CONTÁBIL'!N:O,2,FALSE),FALSE),0))))</f>
        <v/>
      </c>
      <c r="L299" s="35" t="str">
        <f t="shared" si="9"/>
        <v/>
      </c>
      <c r="M299" s="35" t="str">
        <f t="shared" si="10"/>
        <v/>
      </c>
      <c r="N299" s="35" t="str">
        <f t="shared" si="11"/>
        <v/>
      </c>
      <c r="O299" s="35" t="str">
        <f t="shared" si="12"/>
        <v/>
      </c>
      <c r="P299" s="33" t="e">
        <f t="shared" si="13"/>
        <v>#REF!</v>
      </c>
      <c r="Q299" s="2"/>
      <c r="R299" s="2"/>
      <c r="S299" s="2"/>
      <c r="T299" s="2"/>
      <c r="U299" s="2"/>
    </row>
    <row r="300" spans="1:21" ht="12.75" customHeight="1" x14ac:dyDescent="0.2">
      <c r="A300" s="2"/>
      <c r="B300" s="31"/>
      <c r="C300" s="32" t="str">
        <f>IFERROR((IF(B300="","",IF($F$6="","Informar UF / Tabela / Prazo de Pagamento",IF($F$9="","Informar UF / Tabela / Prazo de Pagamento",IF($C$9="","Informar UF / Tabela / Prazo de Pagamento",VLOOKUP(B300,'Tabela 130 '!$A$5:$T$1001,2,FALSE)))))),"REF. NÃO CADASTRADA NA TABELA")</f>
        <v/>
      </c>
      <c r="D300" s="33" t="str">
        <f>IF('FOLHA DE PEDIDO '!B300="","",IF(C300="REF. NÃO CADASTRADA NA TABELA","",VLOOKUP(B300,'Tabela 130 '!$A$5:$AI$801,3,FALSE)))</f>
        <v/>
      </c>
      <c r="E300" s="34"/>
      <c r="F300" s="34"/>
      <c r="G300" s="35" t="str">
        <f>IFERROR(IF(C300="REF. NÃO CADASTRADA NA TABELA","",IF($C$9="","",IF($F$9="","",IF(B300="","",IF($C$9=119,VLOOKUP(B300,'Tabela 130 '!$A$5:$T$2711,MATCH($F$9,'Tabela 130 '!$A$5:$T$5,0),FALSE),IF($C$9=553,VLOOKUP(B300,#REF!,MATCH($F$9,#REF!,0),FALSE),IF($C$9=552,VLOOKUP(B300,#REF!,MATCH($F$9,#REF!,0),FALSE),IF($C$9=551,VLOOKUP(B300,#REF!,MATCH($F$9,#REF!,0),FALSE))))))))),"REF. NÃO CADASTRADA NA TABELA")</f>
        <v/>
      </c>
      <c r="H300" s="36"/>
      <c r="I300" s="37" t="str">
        <f t="shared" si="7"/>
        <v/>
      </c>
      <c r="J300" s="33" t="str">
        <f t="shared" si="8"/>
        <v/>
      </c>
      <c r="K300" s="38" t="str">
        <f>IF($F$6="","",IF(B300="","",IF(C300="REF. NÃO CADASTRADA NA TABELA","",IFERROR(VLOOKUP(B300,#REF!,VLOOKUP($F$6,'BASE CONTÁBIL'!N:O,2,FALSE),FALSE),0))))</f>
        <v/>
      </c>
      <c r="L300" s="35" t="str">
        <f t="shared" si="9"/>
        <v/>
      </c>
      <c r="M300" s="35" t="str">
        <f t="shared" si="10"/>
        <v/>
      </c>
      <c r="N300" s="35" t="str">
        <f t="shared" si="11"/>
        <v/>
      </c>
      <c r="O300" s="35" t="str">
        <f t="shared" si="12"/>
        <v/>
      </c>
      <c r="P300" s="33" t="e">
        <f t="shared" si="13"/>
        <v>#REF!</v>
      </c>
      <c r="Q300" s="2"/>
      <c r="R300" s="2"/>
      <c r="S300" s="2"/>
      <c r="T300" s="2"/>
      <c r="U300" s="2"/>
    </row>
    <row r="301" spans="1:21" ht="12.75" customHeight="1" x14ac:dyDescent="0.2">
      <c r="A301" s="2"/>
      <c r="B301" s="31"/>
      <c r="C301" s="32" t="str">
        <f>IFERROR((IF(B301="","",IF($F$6="","Informar UF / Tabela / Prazo de Pagamento",IF($F$9="","Informar UF / Tabela / Prazo de Pagamento",IF($C$9="","Informar UF / Tabela / Prazo de Pagamento",VLOOKUP(B301,'Tabela 130 '!$A$5:$T$1001,2,FALSE)))))),"REF. NÃO CADASTRADA NA TABELA")</f>
        <v/>
      </c>
      <c r="D301" s="33" t="str">
        <f>IF('FOLHA DE PEDIDO '!B301="","",IF(C301="REF. NÃO CADASTRADA NA TABELA","",VLOOKUP(B301,'Tabela 130 '!$A$5:$AI$801,3,FALSE)))</f>
        <v/>
      </c>
      <c r="E301" s="34"/>
      <c r="F301" s="34"/>
      <c r="G301" s="35" t="str">
        <f>IFERROR(IF(C301="REF. NÃO CADASTRADA NA TABELA","",IF($C$9="","",IF($F$9="","",IF(B301="","",IF($C$9=119,VLOOKUP(B301,'Tabela 130 '!$A$5:$T$2711,MATCH($F$9,'Tabela 130 '!$A$5:$T$5,0),FALSE),IF($C$9=553,VLOOKUP(B301,#REF!,MATCH($F$9,#REF!,0),FALSE),IF($C$9=552,VLOOKUP(B301,#REF!,MATCH($F$9,#REF!,0),FALSE),IF($C$9=551,VLOOKUP(B301,#REF!,MATCH($F$9,#REF!,0),FALSE))))))))),"REF. NÃO CADASTRADA NA TABELA")</f>
        <v/>
      </c>
      <c r="H301" s="36"/>
      <c r="I301" s="37" t="str">
        <f t="shared" si="7"/>
        <v/>
      </c>
      <c r="J301" s="33" t="str">
        <f t="shared" si="8"/>
        <v/>
      </c>
      <c r="K301" s="38" t="str">
        <f>IF($F$6="","",IF(B301="","",IF(C301="REF. NÃO CADASTRADA NA TABELA","",IFERROR(VLOOKUP(B301,#REF!,VLOOKUP($F$6,'BASE CONTÁBIL'!N:O,2,FALSE),FALSE),0))))</f>
        <v/>
      </c>
      <c r="L301" s="35" t="str">
        <f t="shared" si="9"/>
        <v/>
      </c>
      <c r="M301" s="35" t="str">
        <f t="shared" si="10"/>
        <v/>
      </c>
      <c r="N301" s="35" t="str">
        <f t="shared" si="11"/>
        <v/>
      </c>
      <c r="O301" s="35" t="str">
        <f t="shared" si="12"/>
        <v/>
      </c>
      <c r="P301" s="33" t="e">
        <f t="shared" si="13"/>
        <v>#REF!</v>
      </c>
      <c r="Q301" s="2"/>
      <c r="R301" s="2"/>
      <c r="S301" s="2"/>
      <c r="T301" s="2"/>
      <c r="U301" s="2"/>
    </row>
    <row r="302" spans="1:21" ht="12.75" customHeight="1" x14ac:dyDescent="0.2">
      <c r="A302" s="2"/>
      <c r="B302" s="31"/>
      <c r="C302" s="32" t="str">
        <f>IFERROR((IF(B302="","",IF($F$6="","Informar UF / Tabela / Prazo de Pagamento",IF($F$9="","Informar UF / Tabela / Prazo de Pagamento",IF($C$9="","Informar UF / Tabela / Prazo de Pagamento",VLOOKUP(B302,'Tabela 130 '!$A$5:$T$1001,2,FALSE)))))),"REF. NÃO CADASTRADA NA TABELA")</f>
        <v/>
      </c>
      <c r="D302" s="33" t="str">
        <f>IF('FOLHA DE PEDIDO '!B302="","",IF(C302="REF. NÃO CADASTRADA NA TABELA","",VLOOKUP(B302,'Tabela 130 '!$A$5:$AI$801,3,FALSE)))</f>
        <v/>
      </c>
      <c r="E302" s="34"/>
      <c r="F302" s="34"/>
      <c r="G302" s="35" t="str">
        <f>IFERROR(IF(C302="REF. NÃO CADASTRADA NA TABELA","",IF($C$9="","",IF($F$9="","",IF(B302="","",IF($C$9=119,VLOOKUP(B302,'Tabela 130 '!$A$5:$T$2711,MATCH($F$9,'Tabela 130 '!$A$5:$T$5,0),FALSE),IF($C$9=553,VLOOKUP(B302,#REF!,MATCH($F$9,#REF!,0),FALSE),IF($C$9=552,VLOOKUP(B302,#REF!,MATCH($F$9,#REF!,0),FALSE),IF($C$9=551,VLOOKUP(B302,#REF!,MATCH($F$9,#REF!,0),FALSE))))))))),"REF. NÃO CADASTRADA NA TABELA")</f>
        <v/>
      </c>
      <c r="H302" s="36"/>
      <c r="I302" s="37" t="str">
        <f t="shared" si="7"/>
        <v/>
      </c>
      <c r="J302" s="33" t="str">
        <f t="shared" si="8"/>
        <v/>
      </c>
      <c r="K302" s="38" t="str">
        <f>IF($F$6="","",IF(B302="","",IF(C302="REF. NÃO CADASTRADA NA TABELA","",IFERROR(VLOOKUP(B302,#REF!,VLOOKUP($F$6,'BASE CONTÁBIL'!N:O,2,FALSE),FALSE),0))))</f>
        <v/>
      </c>
      <c r="L302" s="35" t="str">
        <f t="shared" si="9"/>
        <v/>
      </c>
      <c r="M302" s="35" t="str">
        <f t="shared" si="10"/>
        <v/>
      </c>
      <c r="N302" s="35" t="str">
        <f t="shared" si="11"/>
        <v/>
      </c>
      <c r="O302" s="35" t="str">
        <f t="shared" si="12"/>
        <v/>
      </c>
      <c r="P302" s="33" t="e">
        <f t="shared" si="13"/>
        <v>#REF!</v>
      </c>
      <c r="Q302" s="2"/>
      <c r="R302" s="2"/>
      <c r="S302" s="2"/>
      <c r="T302" s="2"/>
      <c r="U302" s="2"/>
    </row>
    <row r="303" spans="1:21" ht="12.75" customHeight="1" x14ac:dyDescent="0.2">
      <c r="A303" s="2"/>
      <c r="B303" s="31"/>
      <c r="C303" s="32" t="str">
        <f>IFERROR((IF(B303="","",IF($F$6="","Informar UF / Tabela / Prazo de Pagamento",IF($F$9="","Informar UF / Tabela / Prazo de Pagamento",IF($C$9="","Informar UF / Tabela / Prazo de Pagamento",VLOOKUP(B303,'Tabela 130 '!$A$5:$T$1001,2,FALSE)))))),"REF. NÃO CADASTRADA NA TABELA")</f>
        <v/>
      </c>
      <c r="D303" s="33" t="str">
        <f>IF('FOLHA DE PEDIDO '!B303="","",IF(C303="REF. NÃO CADASTRADA NA TABELA","",VLOOKUP(B303,'Tabela 130 '!$A$5:$AI$801,3,FALSE)))</f>
        <v/>
      </c>
      <c r="E303" s="34"/>
      <c r="F303" s="34"/>
      <c r="G303" s="35" t="str">
        <f>IFERROR(IF(C303="REF. NÃO CADASTRADA NA TABELA","",IF($C$9="","",IF($F$9="","",IF(B303="","",IF($C$9=119,VLOOKUP(B303,'Tabela 130 '!$A$5:$T$2711,MATCH($F$9,'Tabela 130 '!$A$5:$T$5,0),FALSE),IF($C$9=553,VLOOKUP(B303,#REF!,MATCH($F$9,#REF!,0),FALSE),IF($C$9=552,VLOOKUP(B303,#REF!,MATCH($F$9,#REF!,0),FALSE),IF($C$9=551,VLOOKUP(B303,#REF!,MATCH($F$9,#REF!,0),FALSE))))))))),"REF. NÃO CADASTRADA NA TABELA")</f>
        <v/>
      </c>
      <c r="H303" s="36"/>
      <c r="I303" s="37" t="str">
        <f t="shared" si="7"/>
        <v/>
      </c>
      <c r="J303" s="33" t="str">
        <f t="shared" si="8"/>
        <v/>
      </c>
      <c r="K303" s="38" t="str">
        <f>IF($F$6="","",IF(B303="","",IF(C303="REF. NÃO CADASTRADA NA TABELA","",IFERROR(VLOOKUP(B303,#REF!,VLOOKUP($F$6,'BASE CONTÁBIL'!N:O,2,FALSE),FALSE),0))))</f>
        <v/>
      </c>
      <c r="L303" s="35" t="str">
        <f t="shared" si="9"/>
        <v/>
      </c>
      <c r="M303" s="35" t="str">
        <f t="shared" si="10"/>
        <v/>
      </c>
      <c r="N303" s="35" t="str">
        <f t="shared" si="11"/>
        <v/>
      </c>
      <c r="O303" s="35" t="str">
        <f t="shared" si="12"/>
        <v/>
      </c>
      <c r="P303" s="33" t="e">
        <f t="shared" si="13"/>
        <v>#REF!</v>
      </c>
      <c r="Q303" s="2"/>
      <c r="R303" s="2"/>
      <c r="S303" s="2"/>
      <c r="T303" s="2"/>
      <c r="U303" s="2"/>
    </row>
    <row r="304" spans="1:21" ht="12.75" customHeight="1" x14ac:dyDescent="0.2">
      <c r="A304" s="2"/>
      <c r="B304" s="31"/>
      <c r="C304" s="32" t="str">
        <f>IFERROR((IF(B304="","",IF($F$6="","Informar UF / Tabela / Prazo de Pagamento",IF($F$9="","Informar UF / Tabela / Prazo de Pagamento",IF($C$9="","Informar UF / Tabela / Prazo de Pagamento",VLOOKUP(B304,'Tabela 130 '!$A$5:$T$1001,2,FALSE)))))),"REF. NÃO CADASTRADA NA TABELA")</f>
        <v/>
      </c>
      <c r="D304" s="33" t="str">
        <f>IF('FOLHA DE PEDIDO '!B304="","",IF(C304="REF. NÃO CADASTRADA NA TABELA","",VLOOKUP(B304,'Tabela 130 '!$A$5:$AI$801,3,FALSE)))</f>
        <v/>
      </c>
      <c r="E304" s="34"/>
      <c r="F304" s="34"/>
      <c r="G304" s="35" t="str">
        <f>IFERROR(IF(C304="REF. NÃO CADASTRADA NA TABELA","",IF($C$9="","",IF($F$9="","",IF(B304="","",IF($C$9=119,VLOOKUP(B304,'Tabela 130 '!$A$5:$T$2711,MATCH($F$9,'Tabela 130 '!$A$5:$T$5,0),FALSE),IF($C$9=553,VLOOKUP(B304,#REF!,MATCH($F$9,#REF!,0),FALSE),IF($C$9=552,VLOOKUP(B304,#REF!,MATCH($F$9,#REF!,0),FALSE),IF($C$9=551,VLOOKUP(B304,#REF!,MATCH($F$9,#REF!,0),FALSE))))))))),"REF. NÃO CADASTRADA NA TABELA")</f>
        <v/>
      </c>
      <c r="H304" s="36"/>
      <c r="I304" s="37" t="str">
        <f t="shared" si="7"/>
        <v/>
      </c>
      <c r="J304" s="33" t="str">
        <f t="shared" si="8"/>
        <v/>
      </c>
      <c r="K304" s="38" t="str">
        <f>IF($F$6="","",IF(B304="","",IF(C304="REF. NÃO CADASTRADA NA TABELA","",IFERROR(VLOOKUP(B304,#REF!,VLOOKUP($F$6,'BASE CONTÁBIL'!N:O,2,FALSE),FALSE),0))))</f>
        <v/>
      </c>
      <c r="L304" s="35" t="str">
        <f t="shared" si="9"/>
        <v/>
      </c>
      <c r="M304" s="35" t="str">
        <f t="shared" si="10"/>
        <v/>
      </c>
      <c r="N304" s="35" t="str">
        <f t="shared" si="11"/>
        <v/>
      </c>
      <c r="O304" s="35" t="str">
        <f t="shared" si="12"/>
        <v/>
      </c>
      <c r="P304" s="33" t="e">
        <f t="shared" si="13"/>
        <v>#REF!</v>
      </c>
      <c r="Q304" s="2"/>
      <c r="R304" s="2"/>
      <c r="S304" s="2"/>
      <c r="T304" s="2"/>
      <c r="U304" s="2"/>
    </row>
    <row r="305" spans="1:21" ht="12.75" customHeight="1" x14ac:dyDescent="0.2">
      <c r="A305" s="2"/>
      <c r="B305" s="31"/>
      <c r="C305" s="32" t="str">
        <f>IFERROR((IF(B305="","",IF($F$6="","Informar UF / Tabela / Prazo de Pagamento",IF($F$9="","Informar UF / Tabela / Prazo de Pagamento",IF($C$9="","Informar UF / Tabela / Prazo de Pagamento",VLOOKUP(B305,'Tabela 130 '!$A$5:$T$1001,2,FALSE)))))),"REF. NÃO CADASTRADA NA TABELA")</f>
        <v/>
      </c>
      <c r="D305" s="33" t="str">
        <f>IF('FOLHA DE PEDIDO '!B305="","",IF(C305="REF. NÃO CADASTRADA NA TABELA","",VLOOKUP(B305,'Tabela 130 '!$A$5:$AI$801,3,FALSE)))</f>
        <v/>
      </c>
      <c r="E305" s="34"/>
      <c r="F305" s="34"/>
      <c r="G305" s="35" t="str">
        <f>IFERROR(IF(C305="REF. NÃO CADASTRADA NA TABELA","",IF($C$9="","",IF($F$9="","",IF(B305="","",IF($C$9=119,VLOOKUP(B305,'Tabela 130 '!$A$5:$T$2711,MATCH($F$9,'Tabela 130 '!$A$5:$T$5,0),FALSE),IF($C$9=553,VLOOKUP(B305,#REF!,MATCH($F$9,#REF!,0),FALSE),IF($C$9=552,VLOOKUP(B305,#REF!,MATCH($F$9,#REF!,0),FALSE),IF($C$9=551,VLOOKUP(B305,#REF!,MATCH($F$9,#REF!,0),FALSE))))))))),"REF. NÃO CADASTRADA NA TABELA")</f>
        <v/>
      </c>
      <c r="H305" s="36"/>
      <c r="I305" s="37" t="str">
        <f t="shared" si="7"/>
        <v/>
      </c>
      <c r="J305" s="33" t="str">
        <f t="shared" si="8"/>
        <v/>
      </c>
      <c r="K305" s="38" t="str">
        <f>IF($F$6="","",IF(B305="","",IF(C305="REF. NÃO CADASTRADA NA TABELA","",IFERROR(VLOOKUP(B305,#REF!,VLOOKUP($F$6,'BASE CONTÁBIL'!N:O,2,FALSE),FALSE),0))))</f>
        <v/>
      </c>
      <c r="L305" s="35" t="str">
        <f t="shared" si="9"/>
        <v/>
      </c>
      <c r="M305" s="35" t="str">
        <f t="shared" si="10"/>
        <v/>
      </c>
      <c r="N305" s="35" t="str">
        <f t="shared" si="11"/>
        <v/>
      </c>
      <c r="O305" s="35" t="str">
        <f t="shared" si="12"/>
        <v/>
      </c>
      <c r="P305" s="33" t="e">
        <f t="shared" si="13"/>
        <v>#REF!</v>
      </c>
      <c r="Q305" s="2"/>
      <c r="R305" s="2"/>
      <c r="S305" s="2"/>
      <c r="T305" s="2"/>
      <c r="U305" s="2"/>
    </row>
    <row r="306" spans="1:21" ht="12.75" customHeight="1" x14ac:dyDescent="0.2">
      <c r="A306" s="2"/>
      <c r="B306" s="31"/>
      <c r="C306" s="32" t="str">
        <f>IFERROR((IF(B306="","",IF($F$6="","Informar UF / Tabela / Prazo de Pagamento",IF($F$9="","Informar UF / Tabela / Prazo de Pagamento",IF($C$9="","Informar UF / Tabela / Prazo de Pagamento",VLOOKUP(B306,'Tabela 130 '!$A$5:$T$1001,2,FALSE)))))),"REF. NÃO CADASTRADA NA TABELA")</f>
        <v/>
      </c>
      <c r="D306" s="33" t="str">
        <f>IF('FOLHA DE PEDIDO '!B306="","",IF(C306="REF. NÃO CADASTRADA NA TABELA","",VLOOKUP(B306,'Tabela 130 '!$A$5:$AI$801,3,FALSE)))</f>
        <v/>
      </c>
      <c r="E306" s="34"/>
      <c r="F306" s="34"/>
      <c r="G306" s="35" t="str">
        <f>IFERROR(IF(C306="REF. NÃO CADASTRADA NA TABELA","",IF($C$9="","",IF($F$9="","",IF(B306="","",IF($C$9=119,VLOOKUP(B306,'Tabela 130 '!$A$5:$T$2711,MATCH($F$9,'Tabela 130 '!$A$5:$T$5,0),FALSE),IF($C$9=553,VLOOKUP(B306,#REF!,MATCH($F$9,#REF!,0),FALSE),IF($C$9=552,VLOOKUP(B306,#REF!,MATCH($F$9,#REF!,0),FALSE),IF($C$9=551,VLOOKUP(B306,#REF!,MATCH($F$9,#REF!,0),FALSE))))))))),"REF. NÃO CADASTRADA NA TABELA")</f>
        <v/>
      </c>
      <c r="H306" s="36"/>
      <c r="I306" s="37" t="str">
        <f t="shared" si="7"/>
        <v/>
      </c>
      <c r="J306" s="33" t="str">
        <f t="shared" si="8"/>
        <v/>
      </c>
      <c r="K306" s="38" t="str">
        <f>IF($F$6="","",IF(B306="","",IF(C306="REF. NÃO CADASTRADA NA TABELA","",IFERROR(VLOOKUP(B306,#REF!,VLOOKUP($F$6,'BASE CONTÁBIL'!N:O,2,FALSE),FALSE),0))))</f>
        <v/>
      </c>
      <c r="L306" s="35" t="str">
        <f t="shared" si="9"/>
        <v/>
      </c>
      <c r="M306" s="35" t="str">
        <f t="shared" si="10"/>
        <v/>
      </c>
      <c r="N306" s="35" t="str">
        <f t="shared" si="11"/>
        <v/>
      </c>
      <c r="O306" s="35" t="str">
        <f t="shared" si="12"/>
        <v/>
      </c>
      <c r="P306" s="33" t="e">
        <f t="shared" si="13"/>
        <v>#REF!</v>
      </c>
      <c r="Q306" s="2"/>
      <c r="R306" s="2"/>
      <c r="S306" s="2"/>
      <c r="T306" s="2"/>
      <c r="U306" s="2"/>
    </row>
    <row r="307" spans="1:21" ht="12.75" customHeight="1" x14ac:dyDescent="0.2">
      <c r="A307" s="2"/>
      <c r="B307" s="31"/>
      <c r="C307" s="32" t="str">
        <f>IFERROR((IF(B307="","",IF($F$6="","Informar UF / Tabela / Prazo de Pagamento",IF($F$9="","Informar UF / Tabela / Prazo de Pagamento",IF($C$9="","Informar UF / Tabela / Prazo de Pagamento",VLOOKUP(B307,'Tabela 130 '!$A$5:$T$1001,2,FALSE)))))),"REF. NÃO CADASTRADA NA TABELA")</f>
        <v/>
      </c>
      <c r="D307" s="33" t="str">
        <f>IF('FOLHA DE PEDIDO '!B307="","",IF(C307="REF. NÃO CADASTRADA NA TABELA","",VLOOKUP(B307,'Tabela 130 '!$A$5:$AI$801,3,FALSE)))</f>
        <v/>
      </c>
      <c r="E307" s="34"/>
      <c r="F307" s="34"/>
      <c r="G307" s="35" t="str">
        <f>IFERROR(IF(C307="REF. NÃO CADASTRADA NA TABELA","",IF($C$9="","",IF($F$9="","",IF(B307="","",IF($C$9=119,VLOOKUP(B307,'Tabela 130 '!$A$5:$T$2711,MATCH($F$9,'Tabela 130 '!$A$5:$T$5,0),FALSE),IF($C$9=553,VLOOKUP(B307,#REF!,MATCH($F$9,#REF!,0),FALSE),IF($C$9=552,VLOOKUP(B307,#REF!,MATCH($F$9,#REF!,0),FALSE),IF($C$9=551,VLOOKUP(B307,#REF!,MATCH($F$9,#REF!,0),FALSE))))))))),"REF. NÃO CADASTRADA NA TABELA")</f>
        <v/>
      </c>
      <c r="H307" s="36"/>
      <c r="I307" s="37" t="str">
        <f t="shared" si="7"/>
        <v/>
      </c>
      <c r="J307" s="33" t="str">
        <f t="shared" si="8"/>
        <v/>
      </c>
      <c r="K307" s="38" t="str">
        <f>IF($F$6="","",IF(B307="","",IF(C307="REF. NÃO CADASTRADA NA TABELA","",IFERROR(VLOOKUP(B307,#REF!,VLOOKUP($F$6,'BASE CONTÁBIL'!N:O,2,FALSE),FALSE),0))))</f>
        <v/>
      </c>
      <c r="L307" s="35" t="str">
        <f t="shared" si="9"/>
        <v/>
      </c>
      <c r="M307" s="35" t="str">
        <f t="shared" si="10"/>
        <v/>
      </c>
      <c r="N307" s="35" t="str">
        <f t="shared" si="11"/>
        <v/>
      </c>
      <c r="O307" s="35" t="str">
        <f t="shared" si="12"/>
        <v/>
      </c>
      <c r="P307" s="33" t="e">
        <f t="shared" si="13"/>
        <v>#REF!</v>
      </c>
      <c r="Q307" s="2"/>
      <c r="R307" s="2"/>
      <c r="S307" s="2"/>
      <c r="T307" s="2"/>
      <c r="U307" s="2"/>
    </row>
    <row r="308" spans="1:21" ht="12.75" customHeight="1" x14ac:dyDescent="0.2">
      <c r="A308" s="2"/>
      <c r="B308" s="31"/>
      <c r="C308" s="32" t="str">
        <f>IFERROR((IF(B308="","",IF($F$6="","Informar UF / Tabela / Prazo de Pagamento",IF($F$9="","Informar UF / Tabela / Prazo de Pagamento",IF($C$9="","Informar UF / Tabela / Prazo de Pagamento",VLOOKUP(B308,'Tabela 130 '!$A$5:$T$1001,2,FALSE)))))),"REF. NÃO CADASTRADA NA TABELA")</f>
        <v/>
      </c>
      <c r="D308" s="33" t="str">
        <f>IF('FOLHA DE PEDIDO '!B308="","",IF(C308="REF. NÃO CADASTRADA NA TABELA","",VLOOKUP(B308,'Tabela 130 '!$A$5:$AI$801,3,FALSE)))</f>
        <v/>
      </c>
      <c r="E308" s="34"/>
      <c r="F308" s="34"/>
      <c r="G308" s="35" t="str">
        <f>IFERROR(IF(C308="REF. NÃO CADASTRADA NA TABELA","",IF($C$9="","",IF($F$9="","",IF(B308="","",IF($C$9=119,VLOOKUP(B308,'Tabela 130 '!$A$5:$T$2711,MATCH($F$9,'Tabela 130 '!$A$5:$T$5,0),FALSE),IF($C$9=553,VLOOKUP(B308,#REF!,MATCH($F$9,#REF!,0),FALSE),IF($C$9=552,VLOOKUP(B308,#REF!,MATCH($F$9,#REF!,0),FALSE),IF($C$9=551,VLOOKUP(B308,#REF!,MATCH($F$9,#REF!,0),FALSE))))))))),"REF. NÃO CADASTRADA NA TABELA")</f>
        <v/>
      </c>
      <c r="H308" s="36"/>
      <c r="I308" s="37" t="str">
        <f t="shared" si="7"/>
        <v/>
      </c>
      <c r="J308" s="33" t="str">
        <f t="shared" si="8"/>
        <v/>
      </c>
      <c r="K308" s="38" t="str">
        <f>IF($F$6="","",IF(B308="","",IF(C308="REF. NÃO CADASTRADA NA TABELA","",IFERROR(VLOOKUP(B308,#REF!,VLOOKUP($F$6,'BASE CONTÁBIL'!N:O,2,FALSE),FALSE),0))))</f>
        <v/>
      </c>
      <c r="L308" s="35" t="str">
        <f t="shared" si="9"/>
        <v/>
      </c>
      <c r="M308" s="35" t="str">
        <f t="shared" si="10"/>
        <v/>
      </c>
      <c r="N308" s="35" t="str">
        <f t="shared" si="11"/>
        <v/>
      </c>
      <c r="O308" s="35" t="str">
        <f t="shared" si="12"/>
        <v/>
      </c>
      <c r="P308" s="33" t="e">
        <f t="shared" si="13"/>
        <v>#REF!</v>
      </c>
      <c r="Q308" s="2"/>
      <c r="R308" s="2"/>
      <c r="S308" s="2"/>
      <c r="T308" s="2"/>
      <c r="U308" s="2"/>
    </row>
    <row r="309" spans="1:21" ht="12.75" customHeight="1" x14ac:dyDescent="0.2">
      <c r="A309" s="2"/>
      <c r="B309" s="31"/>
      <c r="C309" s="32" t="str">
        <f>IFERROR((IF(B309="","",IF($F$6="","Informar UF / Tabela / Prazo de Pagamento",IF($F$9="","Informar UF / Tabela / Prazo de Pagamento",IF($C$9="","Informar UF / Tabela / Prazo de Pagamento",VLOOKUP(B309,'Tabela 130 '!$A$5:$T$1001,2,FALSE)))))),"REF. NÃO CADASTRADA NA TABELA")</f>
        <v/>
      </c>
      <c r="D309" s="33" t="str">
        <f>IF('FOLHA DE PEDIDO '!B309="","",IF(C309="REF. NÃO CADASTRADA NA TABELA","",VLOOKUP(B309,'Tabela 130 '!$A$5:$AI$801,3,FALSE)))</f>
        <v/>
      </c>
      <c r="E309" s="34"/>
      <c r="F309" s="34"/>
      <c r="G309" s="35" t="str">
        <f>IFERROR(IF(C309="REF. NÃO CADASTRADA NA TABELA","",IF($C$9="","",IF($F$9="","",IF(B309="","",IF($C$9=119,VLOOKUP(B309,'Tabela 130 '!$A$5:$T$2711,MATCH($F$9,'Tabela 130 '!$A$5:$T$5,0),FALSE),IF($C$9=553,VLOOKUP(B309,#REF!,MATCH($F$9,#REF!,0),FALSE),IF($C$9=552,VLOOKUP(B309,#REF!,MATCH($F$9,#REF!,0),FALSE),IF($C$9=551,VLOOKUP(B309,#REF!,MATCH($F$9,#REF!,0),FALSE))))))))),"REF. NÃO CADASTRADA NA TABELA")</f>
        <v/>
      </c>
      <c r="H309" s="36"/>
      <c r="I309" s="37" t="str">
        <f t="shared" si="7"/>
        <v/>
      </c>
      <c r="J309" s="33" t="str">
        <f t="shared" si="8"/>
        <v/>
      </c>
      <c r="K309" s="38" t="str">
        <f>IF($F$6="","",IF(B309="","",IF(C309="REF. NÃO CADASTRADA NA TABELA","",IFERROR(VLOOKUP(B309,#REF!,VLOOKUP($F$6,'BASE CONTÁBIL'!N:O,2,FALSE),FALSE),0))))</f>
        <v/>
      </c>
      <c r="L309" s="35" t="str">
        <f t="shared" si="9"/>
        <v/>
      </c>
      <c r="M309" s="35" t="str">
        <f t="shared" si="10"/>
        <v/>
      </c>
      <c r="N309" s="35" t="str">
        <f t="shared" si="11"/>
        <v/>
      </c>
      <c r="O309" s="35" t="str">
        <f t="shared" si="12"/>
        <v/>
      </c>
      <c r="P309" s="33" t="e">
        <f t="shared" si="13"/>
        <v>#REF!</v>
      </c>
      <c r="Q309" s="2"/>
      <c r="R309" s="2"/>
      <c r="S309" s="2"/>
      <c r="T309" s="2"/>
      <c r="U309" s="2"/>
    </row>
    <row r="310" spans="1:21" ht="12.75" customHeight="1" x14ac:dyDescent="0.2">
      <c r="A310" s="2"/>
      <c r="B310" s="31"/>
      <c r="C310" s="32" t="str">
        <f>IFERROR((IF(B310="","",IF($F$6="","Informar UF / Tabela / Prazo de Pagamento",IF($F$9="","Informar UF / Tabela / Prazo de Pagamento",IF($C$9="","Informar UF / Tabela / Prazo de Pagamento",VLOOKUP(B310,'Tabela 130 '!$A$5:$T$1001,2,FALSE)))))),"REF. NÃO CADASTRADA NA TABELA")</f>
        <v/>
      </c>
      <c r="D310" s="33" t="str">
        <f>IF('FOLHA DE PEDIDO '!B310="","",IF(C310="REF. NÃO CADASTRADA NA TABELA","",VLOOKUP(B310,'Tabela 130 '!$A$5:$AI$801,3,FALSE)))</f>
        <v/>
      </c>
      <c r="E310" s="34"/>
      <c r="F310" s="34"/>
      <c r="G310" s="35" t="str">
        <f>IFERROR(IF(C310="REF. NÃO CADASTRADA NA TABELA","",IF($C$9="","",IF($F$9="","",IF(B310="","",IF($C$9=119,VLOOKUP(B310,'Tabela 130 '!$A$5:$T$2711,MATCH($F$9,'Tabela 130 '!$A$5:$T$5,0),FALSE),IF($C$9=553,VLOOKUP(B310,#REF!,MATCH($F$9,#REF!,0),FALSE),IF($C$9=552,VLOOKUP(B310,#REF!,MATCH($F$9,#REF!,0),FALSE),IF($C$9=551,VLOOKUP(B310,#REF!,MATCH($F$9,#REF!,0),FALSE))))))))),"REF. NÃO CADASTRADA NA TABELA")</f>
        <v/>
      </c>
      <c r="H310" s="36"/>
      <c r="I310" s="37" t="str">
        <f t="shared" si="7"/>
        <v/>
      </c>
      <c r="J310" s="33" t="str">
        <f t="shared" si="8"/>
        <v/>
      </c>
      <c r="K310" s="38" t="str">
        <f>IF($F$6="","",IF(B310="","",IF(C310="REF. NÃO CADASTRADA NA TABELA","",IFERROR(VLOOKUP(B310,#REF!,VLOOKUP($F$6,'BASE CONTÁBIL'!N:O,2,FALSE),FALSE),0))))</f>
        <v/>
      </c>
      <c r="L310" s="35" t="str">
        <f t="shared" si="9"/>
        <v/>
      </c>
      <c r="M310" s="35" t="str">
        <f t="shared" si="10"/>
        <v/>
      </c>
      <c r="N310" s="35" t="str">
        <f t="shared" si="11"/>
        <v/>
      </c>
      <c r="O310" s="35" t="str">
        <f t="shared" si="12"/>
        <v/>
      </c>
      <c r="P310" s="33" t="e">
        <f t="shared" si="13"/>
        <v>#REF!</v>
      </c>
      <c r="Q310" s="2"/>
      <c r="R310" s="2"/>
      <c r="S310" s="2"/>
      <c r="T310" s="2"/>
      <c r="U310" s="2"/>
    </row>
    <row r="311" spans="1:21" ht="12.75" customHeight="1" x14ac:dyDescent="0.2">
      <c r="A311" s="2"/>
      <c r="B311" s="31"/>
      <c r="C311" s="32" t="str">
        <f>IFERROR((IF(B311="","",IF($F$6="","Informar UF / Tabela / Prazo de Pagamento",IF($F$9="","Informar UF / Tabela / Prazo de Pagamento",IF($C$9="","Informar UF / Tabela / Prazo de Pagamento",VLOOKUP(B311,'Tabela 130 '!$A$5:$T$1001,2,FALSE)))))),"REF. NÃO CADASTRADA NA TABELA")</f>
        <v/>
      </c>
      <c r="D311" s="33" t="str">
        <f>IF('FOLHA DE PEDIDO '!B311="","",IF(C311="REF. NÃO CADASTRADA NA TABELA","",VLOOKUP(B311,'Tabela 130 '!$A$5:$AI$801,3,FALSE)))</f>
        <v/>
      </c>
      <c r="E311" s="34"/>
      <c r="F311" s="34"/>
      <c r="G311" s="35" t="str">
        <f>IFERROR(IF(C311="REF. NÃO CADASTRADA NA TABELA","",IF($C$9="","",IF($F$9="","",IF(B311="","",IF($C$9=119,VLOOKUP(B311,'Tabela 130 '!$A$5:$T$2711,MATCH($F$9,'Tabela 130 '!$A$5:$T$5,0),FALSE),IF($C$9=553,VLOOKUP(B311,#REF!,MATCH($F$9,#REF!,0),FALSE),IF($C$9=552,VLOOKUP(B311,#REF!,MATCH($F$9,#REF!,0),FALSE),IF($C$9=551,VLOOKUP(B311,#REF!,MATCH($F$9,#REF!,0),FALSE))))))))),"REF. NÃO CADASTRADA NA TABELA")</f>
        <v/>
      </c>
      <c r="H311" s="36"/>
      <c r="I311" s="37" t="str">
        <f t="shared" si="7"/>
        <v/>
      </c>
      <c r="J311" s="33" t="str">
        <f t="shared" si="8"/>
        <v/>
      </c>
      <c r="K311" s="38" t="str">
        <f>IF($F$6="","",IF(B311="","",IF(C311="REF. NÃO CADASTRADA NA TABELA","",IFERROR(VLOOKUP(B311,#REF!,VLOOKUP($F$6,'BASE CONTÁBIL'!N:O,2,FALSE),FALSE),0))))</f>
        <v/>
      </c>
      <c r="L311" s="35" t="str">
        <f t="shared" si="9"/>
        <v/>
      </c>
      <c r="M311" s="35" t="str">
        <f t="shared" si="10"/>
        <v/>
      </c>
      <c r="N311" s="35" t="str">
        <f t="shared" si="11"/>
        <v/>
      </c>
      <c r="O311" s="35" t="str">
        <f t="shared" si="12"/>
        <v/>
      </c>
      <c r="P311" s="33" t="e">
        <f t="shared" si="13"/>
        <v>#REF!</v>
      </c>
      <c r="Q311" s="2"/>
      <c r="R311" s="2"/>
      <c r="S311" s="2"/>
      <c r="T311" s="2"/>
      <c r="U311" s="2"/>
    </row>
    <row r="312" spans="1:21" ht="12.75" customHeight="1" x14ac:dyDescent="0.2">
      <c r="A312" s="2"/>
      <c r="B312" s="31"/>
      <c r="C312" s="32" t="str">
        <f>IFERROR((IF(B312="","",IF($F$6="","Informar UF / Tabela / Prazo de Pagamento",IF($F$9="","Informar UF / Tabela / Prazo de Pagamento",IF($C$9="","Informar UF / Tabela / Prazo de Pagamento",VLOOKUP(B312,'Tabela 130 '!$A$5:$T$1001,2,FALSE)))))),"REF. NÃO CADASTRADA NA TABELA")</f>
        <v/>
      </c>
      <c r="D312" s="33" t="str">
        <f>IF('FOLHA DE PEDIDO '!B312="","",IF(C312="REF. NÃO CADASTRADA NA TABELA","",VLOOKUP(B312,'Tabela 130 '!$A$5:$AI$801,3,FALSE)))</f>
        <v/>
      </c>
      <c r="E312" s="34"/>
      <c r="F312" s="34"/>
      <c r="G312" s="35" t="str">
        <f>IFERROR(IF(C312="REF. NÃO CADASTRADA NA TABELA","",IF($C$9="","",IF($F$9="","",IF(B312="","",IF($C$9=119,VLOOKUP(B312,'Tabela 130 '!$A$5:$T$2711,MATCH($F$9,'Tabela 130 '!$A$5:$T$5,0),FALSE),IF($C$9=553,VLOOKUP(B312,#REF!,MATCH($F$9,#REF!,0),FALSE),IF($C$9=552,VLOOKUP(B312,#REF!,MATCH($F$9,#REF!,0),FALSE),IF($C$9=551,VLOOKUP(B312,#REF!,MATCH($F$9,#REF!,0),FALSE))))))))),"REF. NÃO CADASTRADA NA TABELA")</f>
        <v/>
      </c>
      <c r="H312" s="36"/>
      <c r="I312" s="37" t="str">
        <f t="shared" si="7"/>
        <v/>
      </c>
      <c r="J312" s="33" t="str">
        <f t="shared" si="8"/>
        <v/>
      </c>
      <c r="K312" s="38" t="str">
        <f>IF($F$6="","",IF(B312="","",IF(C312="REF. NÃO CADASTRADA NA TABELA","",IFERROR(VLOOKUP(B312,#REF!,VLOOKUP($F$6,'BASE CONTÁBIL'!N:O,2,FALSE),FALSE),0))))</f>
        <v/>
      </c>
      <c r="L312" s="35" t="str">
        <f t="shared" si="9"/>
        <v/>
      </c>
      <c r="M312" s="35" t="str">
        <f t="shared" si="10"/>
        <v/>
      </c>
      <c r="N312" s="35" t="str">
        <f t="shared" si="11"/>
        <v/>
      </c>
      <c r="O312" s="35" t="str">
        <f t="shared" si="12"/>
        <v/>
      </c>
      <c r="P312" s="33" t="e">
        <f t="shared" si="13"/>
        <v>#REF!</v>
      </c>
      <c r="Q312" s="2"/>
      <c r="R312" s="2"/>
      <c r="S312" s="2"/>
      <c r="T312" s="2"/>
      <c r="U312" s="2"/>
    </row>
    <row r="313" spans="1:21" ht="12.75" customHeight="1" x14ac:dyDescent="0.2">
      <c r="A313" s="2"/>
      <c r="B313" s="31"/>
      <c r="C313" s="32" t="str">
        <f>IFERROR((IF(B313="","",IF($F$6="","Informar UF / Tabela / Prazo de Pagamento",IF($F$9="","Informar UF / Tabela / Prazo de Pagamento",IF($C$9="","Informar UF / Tabela / Prazo de Pagamento",VLOOKUP(B313,'Tabela 130 '!$A$5:$T$1001,2,FALSE)))))),"REF. NÃO CADASTRADA NA TABELA")</f>
        <v/>
      </c>
      <c r="D313" s="33" t="str">
        <f>IF('FOLHA DE PEDIDO '!B313="","",IF(C313="REF. NÃO CADASTRADA NA TABELA","",VLOOKUP(B313,'Tabela 130 '!$A$5:$AI$801,3,FALSE)))</f>
        <v/>
      </c>
      <c r="E313" s="34"/>
      <c r="F313" s="34"/>
      <c r="G313" s="35" t="str">
        <f>IFERROR(IF(C313="REF. NÃO CADASTRADA NA TABELA","",IF($C$9="","",IF($F$9="","",IF(B313="","",IF($C$9=119,VLOOKUP(B313,'Tabela 130 '!$A$5:$T$2711,MATCH($F$9,'Tabela 130 '!$A$5:$T$5,0),FALSE),IF($C$9=553,VLOOKUP(B313,#REF!,MATCH($F$9,#REF!,0),FALSE),IF($C$9=552,VLOOKUP(B313,#REF!,MATCH($F$9,#REF!,0),FALSE),IF($C$9=551,VLOOKUP(B313,#REF!,MATCH($F$9,#REF!,0),FALSE))))))))),"REF. NÃO CADASTRADA NA TABELA")</f>
        <v/>
      </c>
      <c r="H313" s="36"/>
      <c r="I313" s="37" t="str">
        <f t="shared" si="7"/>
        <v/>
      </c>
      <c r="J313" s="33" t="str">
        <f t="shared" si="8"/>
        <v/>
      </c>
      <c r="K313" s="38" t="str">
        <f>IF($F$6="","",IF(B313="","",IF(C313="REF. NÃO CADASTRADA NA TABELA","",IFERROR(VLOOKUP(B313,#REF!,VLOOKUP($F$6,'BASE CONTÁBIL'!N:O,2,FALSE),FALSE),0))))</f>
        <v/>
      </c>
      <c r="L313" s="35" t="str">
        <f t="shared" si="9"/>
        <v/>
      </c>
      <c r="M313" s="35" t="str">
        <f t="shared" si="10"/>
        <v/>
      </c>
      <c r="N313" s="35" t="str">
        <f t="shared" si="11"/>
        <v/>
      </c>
      <c r="O313" s="35" t="str">
        <f t="shared" si="12"/>
        <v/>
      </c>
      <c r="P313" s="33" t="e">
        <f t="shared" si="13"/>
        <v>#REF!</v>
      </c>
      <c r="Q313" s="2"/>
      <c r="R313" s="2"/>
      <c r="S313" s="2"/>
      <c r="T313" s="2"/>
      <c r="U313" s="2"/>
    </row>
    <row r="314" spans="1:21" ht="12.75" customHeight="1" x14ac:dyDescent="0.2">
      <c r="A314" s="2"/>
      <c r="B314" s="31"/>
      <c r="C314" s="32" t="str">
        <f>IFERROR((IF(B314="","",IF($F$6="","Informar UF / Tabela / Prazo de Pagamento",IF($F$9="","Informar UF / Tabela / Prazo de Pagamento",IF($C$9="","Informar UF / Tabela / Prazo de Pagamento",VLOOKUP(B314,'Tabela 130 '!$A$5:$T$1001,2,FALSE)))))),"REF. NÃO CADASTRADA NA TABELA")</f>
        <v/>
      </c>
      <c r="D314" s="33" t="str">
        <f>IF('FOLHA DE PEDIDO '!B314="","",IF(C314="REF. NÃO CADASTRADA NA TABELA","",VLOOKUP(B314,'Tabela 130 '!$A$5:$AI$801,3,FALSE)))</f>
        <v/>
      </c>
      <c r="E314" s="34"/>
      <c r="F314" s="34"/>
      <c r="G314" s="35" t="str">
        <f>IFERROR(IF(C314="REF. NÃO CADASTRADA NA TABELA","",IF($C$9="","",IF($F$9="","",IF(B314="","",IF($C$9=119,VLOOKUP(B314,'Tabela 130 '!$A$5:$T$2711,MATCH($F$9,'Tabela 130 '!$A$5:$T$5,0),FALSE),IF($C$9=553,VLOOKUP(B314,#REF!,MATCH($F$9,#REF!,0),FALSE),IF($C$9=552,VLOOKUP(B314,#REF!,MATCH($F$9,#REF!,0),FALSE),IF($C$9=551,VLOOKUP(B314,#REF!,MATCH($F$9,#REF!,0),FALSE))))))))),"REF. NÃO CADASTRADA NA TABELA")</f>
        <v/>
      </c>
      <c r="H314" s="36"/>
      <c r="I314" s="37" t="str">
        <f t="shared" si="7"/>
        <v/>
      </c>
      <c r="J314" s="33" t="str">
        <f t="shared" si="8"/>
        <v/>
      </c>
      <c r="K314" s="38" t="str">
        <f>IF($F$6="","",IF(B314="","",IF(C314="REF. NÃO CADASTRADA NA TABELA","",IFERROR(VLOOKUP(B314,#REF!,VLOOKUP($F$6,'BASE CONTÁBIL'!N:O,2,FALSE),FALSE),0))))</f>
        <v/>
      </c>
      <c r="L314" s="35" t="str">
        <f t="shared" si="9"/>
        <v/>
      </c>
      <c r="M314" s="35" t="str">
        <f t="shared" si="10"/>
        <v/>
      </c>
      <c r="N314" s="35" t="str">
        <f t="shared" si="11"/>
        <v/>
      </c>
      <c r="O314" s="35" t="str">
        <f t="shared" si="12"/>
        <v/>
      </c>
      <c r="P314" s="33" t="e">
        <f t="shared" si="13"/>
        <v>#REF!</v>
      </c>
      <c r="Q314" s="2"/>
      <c r="R314" s="2"/>
      <c r="S314" s="2"/>
      <c r="T314" s="2"/>
      <c r="U314" s="2"/>
    </row>
    <row r="315" spans="1:21" ht="12.75" customHeight="1" x14ac:dyDescent="0.2">
      <c r="A315" s="2"/>
      <c r="B315" s="31"/>
      <c r="C315" s="32" t="str">
        <f>IFERROR((IF(B315="","",IF($F$6="","Informar UF / Tabela / Prazo de Pagamento",IF($F$9="","Informar UF / Tabela / Prazo de Pagamento",IF($C$9="","Informar UF / Tabela / Prazo de Pagamento",VLOOKUP(B315,'Tabela 130 '!$A$5:$T$1001,2,FALSE)))))),"REF. NÃO CADASTRADA NA TABELA")</f>
        <v/>
      </c>
      <c r="D315" s="33" t="str">
        <f>IF('FOLHA DE PEDIDO '!B315="","",IF(C315="REF. NÃO CADASTRADA NA TABELA","",VLOOKUP(B315,'Tabela 130 '!$A$5:$AI$801,3,FALSE)))</f>
        <v/>
      </c>
      <c r="E315" s="34"/>
      <c r="F315" s="34"/>
      <c r="G315" s="35" t="str">
        <f>IFERROR(IF(C315="REF. NÃO CADASTRADA NA TABELA","",IF($C$9="","",IF($F$9="","",IF(B315="","",IF($C$9=119,VLOOKUP(B315,'Tabela 130 '!$A$5:$T$2711,MATCH($F$9,'Tabela 130 '!$A$5:$T$5,0),FALSE),IF($C$9=553,VLOOKUP(B315,#REF!,MATCH($F$9,#REF!,0),FALSE),IF($C$9=552,VLOOKUP(B315,#REF!,MATCH($F$9,#REF!,0),FALSE),IF($C$9=551,VLOOKUP(B315,#REF!,MATCH($F$9,#REF!,0),FALSE))))))))),"REF. NÃO CADASTRADA NA TABELA")</f>
        <v/>
      </c>
      <c r="H315" s="36"/>
      <c r="I315" s="37" t="str">
        <f t="shared" si="7"/>
        <v/>
      </c>
      <c r="J315" s="33" t="str">
        <f t="shared" si="8"/>
        <v/>
      </c>
      <c r="K315" s="38" t="str">
        <f>IF($F$6="","",IF(B315="","",IF(C315="REF. NÃO CADASTRADA NA TABELA","",IFERROR(VLOOKUP(B315,#REF!,VLOOKUP($F$6,'BASE CONTÁBIL'!N:O,2,FALSE),FALSE),0))))</f>
        <v/>
      </c>
      <c r="L315" s="35" t="str">
        <f t="shared" si="9"/>
        <v/>
      </c>
      <c r="M315" s="35" t="str">
        <f t="shared" si="10"/>
        <v/>
      </c>
      <c r="N315" s="35" t="str">
        <f t="shared" si="11"/>
        <v/>
      </c>
      <c r="O315" s="35" t="str">
        <f t="shared" si="12"/>
        <v/>
      </c>
      <c r="P315" s="33" t="e">
        <f t="shared" si="13"/>
        <v>#REF!</v>
      </c>
      <c r="Q315" s="2"/>
      <c r="R315" s="2"/>
      <c r="S315" s="2"/>
      <c r="T315" s="2"/>
      <c r="U315" s="2"/>
    </row>
    <row r="316" spans="1:21" ht="12.75" customHeight="1" x14ac:dyDescent="0.2">
      <c r="A316" s="2"/>
      <c r="B316" s="31"/>
      <c r="C316" s="32" t="str">
        <f>IFERROR((IF(B316="","",IF($F$6="","Informar UF / Tabela / Prazo de Pagamento",IF($F$9="","Informar UF / Tabela / Prazo de Pagamento",IF($C$9="","Informar UF / Tabela / Prazo de Pagamento",VLOOKUP(B316,'Tabela 130 '!$A$5:$T$1001,2,FALSE)))))),"REF. NÃO CADASTRADA NA TABELA")</f>
        <v/>
      </c>
      <c r="D316" s="33" t="str">
        <f>IF('FOLHA DE PEDIDO '!B316="","",IF(C316="REF. NÃO CADASTRADA NA TABELA","",VLOOKUP(B316,'Tabela 130 '!$A$5:$AI$801,3,FALSE)))</f>
        <v/>
      </c>
      <c r="E316" s="34"/>
      <c r="F316" s="34"/>
      <c r="G316" s="35" t="str">
        <f>IFERROR(IF(C316="REF. NÃO CADASTRADA NA TABELA","",IF($C$9="","",IF($F$9="","",IF(B316="","",IF($C$9=119,VLOOKUP(B316,'Tabela 130 '!$A$5:$T$2711,MATCH($F$9,'Tabela 130 '!$A$5:$T$5,0),FALSE),IF($C$9=553,VLOOKUP(B316,#REF!,MATCH($F$9,#REF!,0),FALSE),IF($C$9=552,VLOOKUP(B316,#REF!,MATCH($F$9,#REF!,0),FALSE),IF($C$9=551,VLOOKUP(B316,#REF!,MATCH($F$9,#REF!,0),FALSE))))))))),"REF. NÃO CADASTRADA NA TABELA")</f>
        <v/>
      </c>
      <c r="H316" s="36"/>
      <c r="I316" s="37" t="str">
        <f t="shared" si="7"/>
        <v/>
      </c>
      <c r="J316" s="33" t="str">
        <f t="shared" si="8"/>
        <v/>
      </c>
      <c r="K316" s="38" t="str">
        <f>IF($F$6="","",IF(B316="","",IF(C316="REF. NÃO CADASTRADA NA TABELA","",IFERROR(VLOOKUP(B316,#REF!,VLOOKUP($F$6,'BASE CONTÁBIL'!N:O,2,FALSE),FALSE),0))))</f>
        <v/>
      </c>
      <c r="L316" s="35" t="str">
        <f t="shared" si="9"/>
        <v/>
      </c>
      <c r="M316" s="35" t="str">
        <f t="shared" si="10"/>
        <v/>
      </c>
      <c r="N316" s="35" t="str">
        <f t="shared" si="11"/>
        <v/>
      </c>
      <c r="O316" s="35" t="str">
        <f t="shared" si="12"/>
        <v/>
      </c>
      <c r="P316" s="33" t="e">
        <f t="shared" si="13"/>
        <v>#REF!</v>
      </c>
      <c r="Q316" s="2"/>
      <c r="R316" s="2"/>
      <c r="S316" s="2"/>
      <c r="T316" s="2"/>
      <c r="U316" s="2"/>
    </row>
    <row r="317" spans="1:21" ht="12.75" customHeight="1" x14ac:dyDescent="0.2">
      <c r="A317" s="2"/>
      <c r="B317" s="31"/>
      <c r="C317" s="32" t="str">
        <f>IFERROR((IF(B317="","",IF($F$6="","Informar UF / Tabela / Prazo de Pagamento",IF($F$9="","Informar UF / Tabela / Prazo de Pagamento",IF($C$9="","Informar UF / Tabela / Prazo de Pagamento",VLOOKUP(B317,'Tabela 130 '!$A$5:$T$1001,2,FALSE)))))),"REF. NÃO CADASTRADA NA TABELA")</f>
        <v/>
      </c>
      <c r="D317" s="33" t="str">
        <f>IF('FOLHA DE PEDIDO '!B317="","",IF(C317="REF. NÃO CADASTRADA NA TABELA","",VLOOKUP(B317,'Tabela 130 '!$A$5:$AI$801,3,FALSE)))</f>
        <v/>
      </c>
      <c r="E317" s="34"/>
      <c r="F317" s="34"/>
      <c r="G317" s="35" t="str">
        <f>IFERROR(IF(C317="REF. NÃO CADASTRADA NA TABELA","",IF($C$9="","",IF($F$9="","",IF(B317="","",IF($C$9=119,VLOOKUP(B317,'Tabela 130 '!$A$5:$T$2711,MATCH($F$9,'Tabela 130 '!$A$5:$T$5,0),FALSE),IF($C$9=553,VLOOKUP(B317,#REF!,MATCH($F$9,#REF!,0),FALSE),IF($C$9=552,VLOOKUP(B317,#REF!,MATCH($F$9,#REF!,0),FALSE),IF($C$9=551,VLOOKUP(B317,#REF!,MATCH($F$9,#REF!,0),FALSE))))))))),"REF. NÃO CADASTRADA NA TABELA")</f>
        <v/>
      </c>
      <c r="H317" s="36"/>
      <c r="I317" s="37" t="str">
        <f t="shared" si="7"/>
        <v/>
      </c>
      <c r="J317" s="33" t="str">
        <f t="shared" si="8"/>
        <v/>
      </c>
      <c r="K317" s="38" t="str">
        <f>IF($F$6="","",IF(B317="","",IF(C317="REF. NÃO CADASTRADA NA TABELA","",IFERROR(VLOOKUP(B317,#REF!,VLOOKUP($F$6,'BASE CONTÁBIL'!N:O,2,FALSE),FALSE),0))))</f>
        <v/>
      </c>
      <c r="L317" s="35" t="str">
        <f t="shared" si="9"/>
        <v/>
      </c>
      <c r="M317" s="35" t="str">
        <f t="shared" si="10"/>
        <v/>
      </c>
      <c r="N317" s="35" t="str">
        <f t="shared" si="11"/>
        <v/>
      </c>
      <c r="O317" s="35" t="str">
        <f t="shared" si="12"/>
        <v/>
      </c>
      <c r="P317" s="33" t="e">
        <f t="shared" si="13"/>
        <v>#REF!</v>
      </c>
      <c r="Q317" s="2"/>
      <c r="R317" s="2"/>
      <c r="S317" s="2"/>
      <c r="T317" s="2"/>
      <c r="U317" s="2"/>
    </row>
    <row r="318" spans="1:21" ht="12.75" customHeight="1" x14ac:dyDescent="0.2">
      <c r="A318" s="2"/>
      <c r="B318" s="31"/>
      <c r="C318" s="32" t="str">
        <f>IFERROR((IF(B318="","",IF($F$6="","Informar UF / Tabela / Prazo de Pagamento",IF($F$9="","Informar UF / Tabela / Prazo de Pagamento",IF($C$9="","Informar UF / Tabela / Prazo de Pagamento",VLOOKUP(B318,'Tabela 130 '!$A$5:$T$1001,2,FALSE)))))),"REF. NÃO CADASTRADA NA TABELA")</f>
        <v/>
      </c>
      <c r="D318" s="33" t="str">
        <f>IF('FOLHA DE PEDIDO '!B318="","",IF(C318="REF. NÃO CADASTRADA NA TABELA","",VLOOKUP(B318,'Tabela 130 '!$A$5:$AI$801,3,FALSE)))</f>
        <v/>
      </c>
      <c r="E318" s="34"/>
      <c r="F318" s="34"/>
      <c r="G318" s="35" t="str">
        <f>IFERROR(IF(C318="REF. NÃO CADASTRADA NA TABELA","",IF($C$9="","",IF($F$9="","",IF(B318="","",IF($C$9=119,VLOOKUP(B318,'Tabela 130 '!$A$5:$T$2711,MATCH($F$9,'Tabela 130 '!$A$5:$T$5,0),FALSE),IF($C$9=553,VLOOKUP(B318,#REF!,MATCH($F$9,#REF!,0),FALSE),IF($C$9=552,VLOOKUP(B318,#REF!,MATCH($F$9,#REF!,0),FALSE),IF($C$9=551,VLOOKUP(B318,#REF!,MATCH($F$9,#REF!,0),FALSE))))))))),"REF. NÃO CADASTRADA NA TABELA")</f>
        <v/>
      </c>
      <c r="H318" s="36"/>
      <c r="I318" s="37" t="str">
        <f t="shared" si="7"/>
        <v/>
      </c>
      <c r="J318" s="33" t="str">
        <f t="shared" si="8"/>
        <v/>
      </c>
      <c r="K318" s="38" t="str">
        <f>IF($F$6="","",IF(B318="","",IF(C318="REF. NÃO CADASTRADA NA TABELA","",IFERROR(VLOOKUP(B318,#REF!,VLOOKUP($F$6,'BASE CONTÁBIL'!N:O,2,FALSE),FALSE),0))))</f>
        <v/>
      </c>
      <c r="L318" s="35" t="str">
        <f t="shared" si="9"/>
        <v/>
      </c>
      <c r="M318" s="35" t="str">
        <f t="shared" si="10"/>
        <v/>
      </c>
      <c r="N318" s="35" t="str">
        <f t="shared" si="11"/>
        <v/>
      </c>
      <c r="O318" s="35" t="str">
        <f t="shared" si="12"/>
        <v/>
      </c>
      <c r="P318" s="33" t="e">
        <f t="shared" si="13"/>
        <v>#REF!</v>
      </c>
      <c r="Q318" s="2"/>
      <c r="R318" s="2"/>
      <c r="S318" s="2"/>
      <c r="T318" s="2"/>
      <c r="U318" s="2"/>
    </row>
    <row r="319" spans="1:21" ht="12.75" customHeight="1" x14ac:dyDescent="0.2">
      <c r="A319" s="2"/>
      <c r="B319" s="31"/>
      <c r="C319" s="32" t="str">
        <f>IFERROR((IF(B319="","",IF($F$6="","Informar UF / Tabela / Prazo de Pagamento",IF($F$9="","Informar UF / Tabela / Prazo de Pagamento",IF($C$9="","Informar UF / Tabela / Prazo de Pagamento",VLOOKUP(B319,'Tabela 130 '!$A$5:$T$1001,2,FALSE)))))),"REF. NÃO CADASTRADA NA TABELA")</f>
        <v/>
      </c>
      <c r="D319" s="33" t="str">
        <f>IF('FOLHA DE PEDIDO '!B319="","",IF(C319="REF. NÃO CADASTRADA NA TABELA","",VLOOKUP(B319,'Tabela 130 '!$A$5:$AI$801,3,FALSE)))</f>
        <v/>
      </c>
      <c r="E319" s="34"/>
      <c r="F319" s="34"/>
      <c r="G319" s="35" t="str">
        <f>IFERROR(IF(C319="REF. NÃO CADASTRADA NA TABELA","",IF($C$9="","",IF($F$9="","",IF(B319="","",IF($C$9=119,VLOOKUP(B319,'Tabela 130 '!$A$5:$T$2711,MATCH($F$9,'Tabela 130 '!$A$5:$T$5,0),FALSE),IF($C$9=553,VLOOKUP(B319,#REF!,MATCH($F$9,#REF!,0),FALSE),IF($C$9=552,VLOOKUP(B319,#REF!,MATCH($F$9,#REF!,0),FALSE),IF($C$9=551,VLOOKUP(B319,#REF!,MATCH($F$9,#REF!,0),FALSE))))))))),"REF. NÃO CADASTRADA NA TABELA")</f>
        <v/>
      </c>
      <c r="H319" s="36"/>
      <c r="I319" s="37" t="str">
        <f t="shared" si="7"/>
        <v/>
      </c>
      <c r="J319" s="33" t="str">
        <f t="shared" si="8"/>
        <v/>
      </c>
      <c r="K319" s="38" t="str">
        <f>IF($F$6="","",IF(B319="","",IF(C319="REF. NÃO CADASTRADA NA TABELA","",IFERROR(VLOOKUP(B319,#REF!,VLOOKUP($F$6,'BASE CONTÁBIL'!N:O,2,FALSE),FALSE),0))))</f>
        <v/>
      </c>
      <c r="L319" s="35" t="str">
        <f t="shared" si="9"/>
        <v/>
      </c>
      <c r="M319" s="35" t="str">
        <f t="shared" si="10"/>
        <v/>
      </c>
      <c r="N319" s="35" t="str">
        <f t="shared" si="11"/>
        <v/>
      </c>
      <c r="O319" s="35" t="str">
        <f t="shared" si="12"/>
        <v/>
      </c>
      <c r="P319" s="33" t="e">
        <f t="shared" si="13"/>
        <v>#REF!</v>
      </c>
      <c r="Q319" s="2"/>
      <c r="R319" s="2"/>
      <c r="S319" s="2"/>
      <c r="T319" s="2"/>
      <c r="U319" s="2"/>
    </row>
    <row r="320" spans="1:21" ht="12.75" customHeight="1" x14ac:dyDescent="0.2">
      <c r="A320" s="2"/>
      <c r="B320" s="31"/>
      <c r="C320" s="32" t="str">
        <f>IFERROR((IF(B320="","",IF($F$6="","Informar UF / Tabela / Prazo de Pagamento",IF($F$9="","Informar UF / Tabela / Prazo de Pagamento",IF($C$9="","Informar UF / Tabela / Prazo de Pagamento",VLOOKUP(B320,'Tabela 130 '!$A$5:$T$1001,2,FALSE)))))),"REF. NÃO CADASTRADA NA TABELA")</f>
        <v/>
      </c>
      <c r="D320" s="33" t="str">
        <f>IF('FOLHA DE PEDIDO '!B320="","",IF(C320="REF. NÃO CADASTRADA NA TABELA","",VLOOKUP(B320,'Tabela 130 '!$A$5:$AI$801,3,FALSE)))</f>
        <v/>
      </c>
      <c r="E320" s="34"/>
      <c r="F320" s="34"/>
      <c r="G320" s="35" t="str">
        <f>IFERROR(IF(C320="REF. NÃO CADASTRADA NA TABELA","",IF($C$9="","",IF($F$9="","",IF(B320="","",IF($C$9=119,VLOOKUP(B320,'Tabela 130 '!$A$5:$T$2711,MATCH($F$9,'Tabela 130 '!$A$5:$T$5,0),FALSE),IF($C$9=553,VLOOKUP(B320,#REF!,MATCH($F$9,#REF!,0),FALSE),IF($C$9=552,VLOOKUP(B320,#REF!,MATCH($F$9,#REF!,0),FALSE),IF($C$9=551,VLOOKUP(B320,#REF!,MATCH($F$9,#REF!,0),FALSE))))))))),"REF. NÃO CADASTRADA NA TABELA")</f>
        <v/>
      </c>
      <c r="H320" s="39" t="s">
        <v>44</v>
      </c>
      <c r="I320" s="37" t="str">
        <f t="shared" si="7"/>
        <v/>
      </c>
      <c r="J320" s="33" t="str">
        <f t="shared" si="8"/>
        <v/>
      </c>
      <c r="K320" s="38" t="str">
        <f>IF($F$6="","",IF(B320="","",IF(C320="REF. NÃO CADASTRADA NA TABELA","",IFERROR(VLOOKUP(B320,#REF!,VLOOKUP($F$6,'BASE CONTÁBIL'!N:O,2,FALSE),FALSE),0))))</f>
        <v/>
      </c>
      <c r="L320" s="35" t="str">
        <f t="shared" si="9"/>
        <v/>
      </c>
      <c r="M320" s="35" t="str">
        <f t="shared" si="10"/>
        <v/>
      </c>
      <c r="N320" s="35" t="str">
        <f t="shared" si="11"/>
        <v/>
      </c>
      <c r="O320" s="35" t="str">
        <f t="shared" si="12"/>
        <v/>
      </c>
      <c r="P320" s="33" t="e">
        <f t="shared" si="13"/>
        <v>#REF!</v>
      </c>
      <c r="Q320" s="2"/>
      <c r="R320" s="2"/>
      <c r="S320" s="2"/>
      <c r="T320" s="2"/>
      <c r="U320" s="2"/>
    </row>
    <row r="321" spans="1:21" ht="12.75" customHeight="1" x14ac:dyDescent="0.2">
      <c r="A321" s="2"/>
      <c r="B321" s="31"/>
      <c r="C321" s="32" t="str">
        <f>IFERROR((IF(B321="","",IF($F$6="","Informar UF / Tabela / Prazo de Pagamento",IF($F$9="","Informar UF / Tabela / Prazo de Pagamento",IF($C$9="","Informar UF / Tabela / Prazo de Pagamento",VLOOKUP(B321,'Tabela 130 '!$A$5:$T$1001,2,FALSE)))))),"REF. NÃO CADASTRADA NA TABELA")</f>
        <v/>
      </c>
      <c r="D321" s="33" t="str">
        <f>IF('FOLHA DE PEDIDO '!B321="","",IF(C321="REF. NÃO CADASTRADA NA TABELA","",VLOOKUP(B321,'Tabela 130 '!$A$5:$AI$801,3,FALSE)))</f>
        <v/>
      </c>
      <c r="E321" s="34"/>
      <c r="F321" s="34"/>
      <c r="G321" s="35" t="str">
        <f>IFERROR(IF(C321="REF. NÃO CADASTRADA NA TABELA","",IF($C$9="","",IF($F$9="","",IF(B321="","",IF($C$9=119,VLOOKUP(B321,'Tabela 130 '!$A$5:$T$2711,MATCH($F$9,'Tabela 130 '!$A$5:$T$5,0),FALSE),IF($C$9=553,VLOOKUP(B321,#REF!,MATCH($F$9,#REF!,0),FALSE),IF($C$9=552,VLOOKUP(B321,#REF!,MATCH($F$9,#REF!,0),FALSE),IF($C$9=551,VLOOKUP(B321,#REF!,MATCH($F$9,#REF!,0),FALSE))))))))),"REF. NÃO CADASTRADA NA TABELA")</f>
        <v/>
      </c>
      <c r="H321" s="36"/>
      <c r="I321" s="37" t="str">
        <f t="shared" si="7"/>
        <v/>
      </c>
      <c r="J321" s="33" t="str">
        <f t="shared" si="8"/>
        <v/>
      </c>
      <c r="K321" s="38" t="str">
        <f>IF($F$6="","",IF(B321="","",IF(C321="REF. NÃO CADASTRADA NA TABELA","",IFERROR(VLOOKUP(B321,#REF!,VLOOKUP($F$6,'BASE CONTÁBIL'!N:O,2,FALSE),FALSE),0))))</f>
        <v/>
      </c>
      <c r="L321" s="35" t="str">
        <f t="shared" si="9"/>
        <v/>
      </c>
      <c r="M321" s="35" t="str">
        <f t="shared" si="10"/>
        <v/>
      </c>
      <c r="N321" s="35" t="str">
        <f t="shared" si="11"/>
        <v/>
      </c>
      <c r="O321" s="35" t="str">
        <f t="shared" si="12"/>
        <v/>
      </c>
      <c r="P321" s="33" t="e">
        <f t="shared" si="13"/>
        <v>#REF!</v>
      </c>
      <c r="Q321" s="2"/>
      <c r="R321" s="2"/>
      <c r="S321" s="2"/>
      <c r="T321" s="2"/>
      <c r="U321" s="2"/>
    </row>
    <row r="322" spans="1:21" ht="12.75" customHeight="1" x14ac:dyDescent="0.2">
      <c r="A322" s="2"/>
      <c r="B322" s="31"/>
      <c r="C322" s="32" t="str">
        <f>IFERROR((IF(B322="","",IF($F$6="","Informar UF / Tabela / Prazo de Pagamento",IF($F$9="","Informar UF / Tabela / Prazo de Pagamento",IF($C$9="","Informar UF / Tabela / Prazo de Pagamento",VLOOKUP(B322,'Tabela 130 '!$A$5:$T$1001,2,FALSE)))))),"REF. NÃO CADASTRADA NA TABELA")</f>
        <v/>
      </c>
      <c r="D322" s="33" t="str">
        <f>IF('FOLHA DE PEDIDO '!B322="","",IF(C322="REF. NÃO CADASTRADA NA TABELA","",VLOOKUP(B322,'Tabela 130 '!$A$5:$AI$801,3,FALSE)))</f>
        <v/>
      </c>
      <c r="E322" s="34"/>
      <c r="F322" s="34"/>
      <c r="G322" s="35" t="str">
        <f>IFERROR(IF(C322="REF. NÃO CADASTRADA NA TABELA","",IF($C$9="","",IF($F$9="","",IF(B322="","",IF($C$9=119,VLOOKUP(B322,'Tabela 130 '!$A$5:$T$2711,MATCH($F$9,'Tabela 130 '!$A$5:$T$5,0),FALSE),IF($C$9=553,VLOOKUP(B322,#REF!,MATCH($F$9,#REF!,0),FALSE),IF($C$9=552,VLOOKUP(B322,#REF!,MATCH($F$9,#REF!,0),FALSE),IF($C$9=551,VLOOKUP(B322,#REF!,MATCH($F$9,#REF!,0),FALSE))))))))),"REF. NÃO CADASTRADA NA TABELA")</f>
        <v/>
      </c>
      <c r="H322" s="36"/>
      <c r="I322" s="37" t="str">
        <f t="shared" si="7"/>
        <v/>
      </c>
      <c r="J322" s="33" t="str">
        <f t="shared" si="8"/>
        <v/>
      </c>
      <c r="K322" s="38" t="str">
        <f>IF($F$6="","",IF(B322="","",IF(C322="REF. NÃO CADASTRADA NA TABELA","",IFERROR(VLOOKUP(B322,#REF!,VLOOKUP($F$6,'BASE CONTÁBIL'!N:O,2,FALSE),FALSE),0))))</f>
        <v/>
      </c>
      <c r="L322" s="35" t="str">
        <f t="shared" si="9"/>
        <v/>
      </c>
      <c r="M322" s="35" t="str">
        <f t="shared" si="10"/>
        <v/>
      </c>
      <c r="N322" s="35" t="str">
        <f t="shared" si="11"/>
        <v/>
      </c>
      <c r="O322" s="35" t="str">
        <f t="shared" si="12"/>
        <v/>
      </c>
      <c r="P322" s="33" t="e">
        <f t="shared" si="13"/>
        <v>#REF!</v>
      </c>
      <c r="Q322" s="2"/>
      <c r="R322" s="2"/>
      <c r="S322" s="2"/>
      <c r="T322" s="2"/>
      <c r="U322" s="2"/>
    </row>
    <row r="323" spans="1:21" ht="12.75" customHeight="1" x14ac:dyDescent="0.2">
      <c r="A323" s="2"/>
      <c r="B323" s="31"/>
      <c r="C323" s="32" t="str">
        <f>IFERROR((IF(B323="","",IF($F$6="","Informar UF / Tabela / Prazo de Pagamento",IF($F$9="","Informar UF / Tabela / Prazo de Pagamento",IF($C$9="","Informar UF / Tabela / Prazo de Pagamento",VLOOKUP(B323,'Tabela 130 '!$A$5:$T$1001,2,FALSE)))))),"REF. NÃO CADASTRADA NA TABELA")</f>
        <v/>
      </c>
      <c r="D323" s="33" t="str">
        <f>IF('FOLHA DE PEDIDO '!B323="","",IF(C323="REF. NÃO CADASTRADA NA TABELA","",VLOOKUP(B323,'Tabela 130 '!$A$5:$AI$801,3,FALSE)))</f>
        <v/>
      </c>
      <c r="E323" s="34"/>
      <c r="F323" s="34"/>
      <c r="G323" s="35" t="str">
        <f>IFERROR(IF(C323="REF. NÃO CADASTRADA NA TABELA","",IF($C$9="","",IF($F$9="","",IF(B323="","",IF($C$9=119,VLOOKUP(B323,'Tabela 130 '!$A$5:$T$2711,MATCH($F$9,'Tabela 130 '!$A$5:$T$5,0),FALSE),IF($C$9=553,VLOOKUP(B323,#REF!,MATCH($F$9,#REF!,0),FALSE),IF($C$9=552,VLOOKUP(B323,#REF!,MATCH($F$9,#REF!,0),FALSE),IF($C$9=551,VLOOKUP(B323,#REF!,MATCH($F$9,#REF!,0),FALSE))))))))),"REF. NÃO CADASTRADA NA TABELA")</f>
        <v/>
      </c>
      <c r="H323" s="36"/>
      <c r="I323" s="37" t="str">
        <f t="shared" si="7"/>
        <v/>
      </c>
      <c r="J323" s="33" t="str">
        <f t="shared" si="8"/>
        <v/>
      </c>
      <c r="K323" s="38" t="str">
        <f>IF($F$6="","",IF(B323="","",IF(C323="REF. NÃO CADASTRADA NA TABELA","",IFERROR(VLOOKUP(B323,#REF!,VLOOKUP($F$6,'BASE CONTÁBIL'!N:O,2,FALSE),FALSE),0))))</f>
        <v/>
      </c>
      <c r="L323" s="35" t="str">
        <f t="shared" si="9"/>
        <v/>
      </c>
      <c r="M323" s="35" t="str">
        <f t="shared" si="10"/>
        <v/>
      </c>
      <c r="N323" s="35" t="str">
        <f t="shared" si="11"/>
        <v/>
      </c>
      <c r="O323" s="35" t="str">
        <f t="shared" si="12"/>
        <v/>
      </c>
      <c r="P323" s="33" t="e">
        <f t="shared" si="13"/>
        <v>#REF!</v>
      </c>
      <c r="Q323" s="2"/>
      <c r="R323" s="2"/>
      <c r="S323" s="2"/>
      <c r="T323" s="2"/>
      <c r="U323" s="2"/>
    </row>
    <row r="324" spans="1:21" ht="12.75" customHeight="1" x14ac:dyDescent="0.2">
      <c r="A324" s="2"/>
      <c r="B324" s="31"/>
      <c r="C324" s="32" t="str">
        <f>IFERROR((IF(B324="","",IF($F$6="","Informar UF / Tabela / Prazo de Pagamento",IF($F$9="","Informar UF / Tabela / Prazo de Pagamento",IF($C$9="","Informar UF / Tabela / Prazo de Pagamento",VLOOKUP(B324,'Tabela 130 '!$A$5:$T$1001,2,FALSE)))))),"REF. NÃO CADASTRADA NA TABELA")</f>
        <v/>
      </c>
      <c r="D324" s="33" t="str">
        <f>IF('FOLHA DE PEDIDO '!B324="","",IF(C324="REF. NÃO CADASTRADA NA TABELA","",VLOOKUP(B324,'Tabela 130 '!$A$5:$AI$801,3,FALSE)))</f>
        <v/>
      </c>
      <c r="E324" s="34"/>
      <c r="F324" s="34"/>
      <c r="G324" s="35" t="str">
        <f>IFERROR(IF(C324="REF. NÃO CADASTRADA NA TABELA","",IF($C$9="","",IF($F$9="","",IF(B324="","",IF($C$9=119,VLOOKUP(B324,'Tabela 130 '!$A$5:$T$2711,MATCH($F$9,'Tabela 130 '!$A$5:$T$5,0),FALSE),IF($C$9=553,VLOOKUP(B324,#REF!,MATCH($F$9,#REF!,0),FALSE),IF($C$9=552,VLOOKUP(B324,#REF!,MATCH($F$9,#REF!,0),FALSE),IF($C$9=551,VLOOKUP(B324,#REF!,MATCH($F$9,#REF!,0),FALSE))))))))),"REF. NÃO CADASTRADA NA TABELA")</f>
        <v/>
      </c>
      <c r="H324" s="36"/>
      <c r="I324" s="37" t="str">
        <f t="shared" si="7"/>
        <v/>
      </c>
      <c r="J324" s="33" t="str">
        <f t="shared" si="8"/>
        <v/>
      </c>
      <c r="K324" s="38" t="str">
        <f>IF($F$6="","",IF(B324="","",IF(C324="REF. NÃO CADASTRADA NA TABELA","",IFERROR(VLOOKUP(B324,#REF!,VLOOKUP($F$6,'BASE CONTÁBIL'!N:O,2,FALSE),FALSE),0))))</f>
        <v/>
      </c>
      <c r="L324" s="35" t="str">
        <f t="shared" si="9"/>
        <v/>
      </c>
      <c r="M324" s="35" t="str">
        <f t="shared" si="10"/>
        <v/>
      </c>
      <c r="N324" s="35" t="str">
        <f t="shared" si="11"/>
        <v/>
      </c>
      <c r="O324" s="35" t="str">
        <f t="shared" si="12"/>
        <v/>
      </c>
      <c r="P324" s="33" t="e">
        <f t="shared" si="13"/>
        <v>#REF!</v>
      </c>
      <c r="Q324" s="2"/>
      <c r="R324" s="2"/>
      <c r="S324" s="2"/>
      <c r="T324" s="2"/>
      <c r="U324" s="2"/>
    </row>
    <row r="325" spans="1:21" ht="12.75" customHeight="1" x14ac:dyDescent="0.2">
      <c r="A325" s="2"/>
      <c r="B325" s="31"/>
      <c r="C325" s="32" t="str">
        <f>IFERROR((IF(B325="","",IF($F$6="","Informar UF / Tabela / Prazo de Pagamento",IF($F$9="","Informar UF / Tabela / Prazo de Pagamento",IF($C$9="","Informar UF / Tabela / Prazo de Pagamento",VLOOKUP(B325,'Tabela 130 '!$A$5:$T$1001,2,FALSE)))))),"REF. NÃO CADASTRADA NA TABELA")</f>
        <v/>
      </c>
      <c r="D325" s="33" t="str">
        <f>IF('FOLHA DE PEDIDO '!B325="","",IF(C325="REF. NÃO CADASTRADA NA TABELA","",VLOOKUP(B325,'Tabela 130 '!$A$5:$AI$801,3,FALSE)))</f>
        <v/>
      </c>
      <c r="E325" s="34"/>
      <c r="F325" s="34"/>
      <c r="G325" s="35" t="str">
        <f>IFERROR(IF(C325="REF. NÃO CADASTRADA NA TABELA","",IF($C$9="","",IF($F$9="","",IF(B325="","",IF($C$9=119,VLOOKUP(B325,'Tabela 130 '!$A$5:$T$2711,MATCH($F$9,'Tabela 130 '!$A$5:$T$5,0),FALSE),IF($C$9=553,VLOOKUP(B325,#REF!,MATCH($F$9,#REF!,0),FALSE),IF($C$9=552,VLOOKUP(B325,#REF!,MATCH($F$9,#REF!,0),FALSE),IF($C$9=551,VLOOKUP(B325,#REF!,MATCH($F$9,#REF!,0),FALSE))))))))),"REF. NÃO CADASTRADA NA TABELA")</f>
        <v/>
      </c>
      <c r="H325" s="36"/>
      <c r="I325" s="37" t="str">
        <f t="shared" si="7"/>
        <v/>
      </c>
      <c r="J325" s="33" t="str">
        <f t="shared" si="8"/>
        <v/>
      </c>
      <c r="K325" s="38" t="str">
        <f>IF($F$6="","",IF(B325="","",IF(C325="REF. NÃO CADASTRADA NA TABELA","",IFERROR(VLOOKUP(B325,#REF!,VLOOKUP($F$6,'BASE CONTÁBIL'!N:O,2,FALSE),FALSE),0))))</f>
        <v/>
      </c>
      <c r="L325" s="35" t="str">
        <f t="shared" si="9"/>
        <v/>
      </c>
      <c r="M325" s="35" t="str">
        <f t="shared" si="10"/>
        <v/>
      </c>
      <c r="N325" s="35" t="str">
        <f t="shared" si="11"/>
        <v/>
      </c>
      <c r="O325" s="35" t="str">
        <f t="shared" si="12"/>
        <v/>
      </c>
      <c r="P325" s="33" t="e">
        <f t="shared" si="13"/>
        <v>#REF!</v>
      </c>
      <c r="Q325" s="2"/>
      <c r="R325" s="2"/>
      <c r="S325" s="2"/>
      <c r="T325" s="2"/>
      <c r="U325" s="2"/>
    </row>
    <row r="326" spans="1:21" ht="12.75" customHeight="1" x14ac:dyDescent="0.2">
      <c r="A326" s="2"/>
      <c r="B326" s="31"/>
      <c r="C326" s="32" t="str">
        <f>IFERROR((IF(B326="","",IF($F$6="","Informar UF / Tabela / Prazo de Pagamento",IF($F$9="","Informar UF / Tabela / Prazo de Pagamento",IF($C$9="","Informar UF / Tabela / Prazo de Pagamento",VLOOKUP(B326,'Tabela 130 '!$A$5:$T$1001,2,FALSE)))))),"REF. NÃO CADASTRADA NA TABELA")</f>
        <v/>
      </c>
      <c r="D326" s="33" t="str">
        <f>IF('FOLHA DE PEDIDO '!B326="","",IF(C326="REF. NÃO CADASTRADA NA TABELA","",VLOOKUP(B326,'Tabela 130 '!$A$5:$AI$801,3,FALSE)))</f>
        <v/>
      </c>
      <c r="E326" s="34"/>
      <c r="F326" s="34"/>
      <c r="G326" s="35" t="str">
        <f>IFERROR(IF(C326="REF. NÃO CADASTRADA NA TABELA","",IF($C$9="","",IF($F$9="","",IF(B326="","",IF($C$9=119,VLOOKUP(B326,'Tabela 130 '!$A$5:$T$2711,MATCH($F$9,'Tabela 130 '!$A$5:$T$5,0),FALSE),IF($C$9=553,VLOOKUP(B326,#REF!,MATCH($F$9,#REF!,0),FALSE),IF($C$9=552,VLOOKUP(B326,#REF!,MATCH($F$9,#REF!,0),FALSE),IF($C$9=551,VLOOKUP(B326,#REF!,MATCH($F$9,#REF!,0),FALSE))))))))),"REF. NÃO CADASTRADA NA TABELA")</f>
        <v/>
      </c>
      <c r="H326" s="36"/>
      <c r="I326" s="37" t="str">
        <f t="shared" si="7"/>
        <v/>
      </c>
      <c r="J326" s="33" t="str">
        <f t="shared" si="8"/>
        <v/>
      </c>
      <c r="K326" s="38" t="str">
        <f>IF($F$6="","",IF(B326="","",IF(C326="REF. NÃO CADASTRADA NA TABELA","",IFERROR(VLOOKUP(B326,#REF!,VLOOKUP($F$6,'BASE CONTÁBIL'!N:O,2,FALSE),FALSE),0))))</f>
        <v/>
      </c>
      <c r="L326" s="35" t="str">
        <f t="shared" si="9"/>
        <v/>
      </c>
      <c r="M326" s="35" t="str">
        <f t="shared" si="10"/>
        <v/>
      </c>
      <c r="N326" s="35" t="str">
        <f t="shared" si="11"/>
        <v/>
      </c>
      <c r="O326" s="35" t="str">
        <f t="shared" si="12"/>
        <v/>
      </c>
      <c r="P326" s="33" t="e">
        <f t="shared" si="13"/>
        <v>#REF!</v>
      </c>
      <c r="Q326" s="2"/>
      <c r="R326" s="2"/>
      <c r="S326" s="2"/>
      <c r="T326" s="2"/>
      <c r="U326" s="2"/>
    </row>
    <row r="327" spans="1:21" ht="12.75" customHeight="1" x14ac:dyDescent="0.2">
      <c r="A327" s="2"/>
      <c r="B327" s="31"/>
      <c r="C327" s="32" t="str">
        <f>IFERROR((IF(B327="","",IF($F$6="","Informar UF / Tabela / Prazo de Pagamento",IF($F$9="","Informar UF / Tabela / Prazo de Pagamento",IF($C$9="","Informar UF / Tabela / Prazo de Pagamento",VLOOKUP(B327,'Tabela 130 '!$A$5:$T$1001,2,FALSE)))))),"REF. NÃO CADASTRADA NA TABELA")</f>
        <v/>
      </c>
      <c r="D327" s="33" t="str">
        <f>IF('FOLHA DE PEDIDO '!B327="","",IF(C327="REF. NÃO CADASTRADA NA TABELA","",VLOOKUP(B327,'Tabela 130 '!$A$5:$AI$801,3,FALSE)))</f>
        <v/>
      </c>
      <c r="E327" s="34"/>
      <c r="F327" s="34"/>
      <c r="G327" s="35" t="str">
        <f>IFERROR(IF(C327="REF. NÃO CADASTRADA NA TABELA","",IF($C$9="","",IF($F$9="","",IF(B327="","",IF($C$9=119,VLOOKUP(B327,'Tabela 130 '!$A$5:$T$2711,MATCH($F$9,'Tabela 130 '!$A$5:$T$5,0),FALSE),IF($C$9=553,VLOOKUP(B327,#REF!,MATCH($F$9,#REF!,0),FALSE),IF($C$9=552,VLOOKUP(B327,#REF!,MATCH($F$9,#REF!,0),FALSE),IF($C$9=551,VLOOKUP(B327,#REF!,MATCH($F$9,#REF!,0),FALSE))))))))),"REF. NÃO CADASTRADA NA TABELA")</f>
        <v/>
      </c>
      <c r="H327" s="36"/>
      <c r="I327" s="37" t="str">
        <f t="shared" si="7"/>
        <v/>
      </c>
      <c r="J327" s="33" t="str">
        <f t="shared" si="8"/>
        <v/>
      </c>
      <c r="K327" s="38" t="str">
        <f>IF($F$6="","",IF(B327="","",IF(C327="REF. NÃO CADASTRADA NA TABELA","",IFERROR(VLOOKUP(B327,#REF!,VLOOKUP($F$6,'BASE CONTÁBIL'!N:O,2,FALSE),FALSE),0))))</f>
        <v/>
      </c>
      <c r="L327" s="35" t="str">
        <f t="shared" si="9"/>
        <v/>
      </c>
      <c r="M327" s="35" t="str">
        <f t="shared" si="10"/>
        <v/>
      </c>
      <c r="N327" s="35" t="str">
        <f t="shared" si="11"/>
        <v/>
      </c>
      <c r="O327" s="35" t="str">
        <f t="shared" si="12"/>
        <v/>
      </c>
      <c r="P327" s="33" t="e">
        <f t="shared" si="13"/>
        <v>#REF!</v>
      </c>
      <c r="Q327" s="2"/>
      <c r="R327" s="2"/>
      <c r="S327" s="2"/>
      <c r="T327" s="2"/>
      <c r="U327" s="2"/>
    </row>
    <row r="328" spans="1:21" ht="12.75" customHeight="1" x14ac:dyDescent="0.2">
      <c r="A328" s="2"/>
      <c r="B328" s="31"/>
      <c r="C328" s="32" t="str">
        <f>IFERROR((IF(B328="","",IF($F$6="","Informar UF / Tabela / Prazo de Pagamento",IF($F$9="","Informar UF / Tabela / Prazo de Pagamento",IF($C$9="","Informar UF / Tabela / Prazo de Pagamento",VLOOKUP(B328,'Tabela 130 '!$A$5:$T$1001,2,FALSE)))))),"REF. NÃO CADASTRADA NA TABELA")</f>
        <v/>
      </c>
      <c r="D328" s="33" t="str">
        <f>IF('FOLHA DE PEDIDO '!B328="","",IF(C328="REF. NÃO CADASTRADA NA TABELA","",VLOOKUP(B328,'Tabela 130 '!$A$5:$AI$801,3,FALSE)))</f>
        <v/>
      </c>
      <c r="E328" s="34"/>
      <c r="F328" s="34"/>
      <c r="G328" s="35" t="str">
        <f>IFERROR(IF(C328="REF. NÃO CADASTRADA NA TABELA","",IF($C$9="","",IF($F$9="","",IF(B328="","",IF($C$9=119,VLOOKUP(B328,'Tabela 130 '!$A$5:$T$2711,MATCH($F$9,'Tabela 130 '!$A$5:$T$5,0),FALSE),IF($C$9=553,VLOOKUP(B328,#REF!,MATCH($F$9,#REF!,0),FALSE),IF($C$9=552,VLOOKUP(B328,#REF!,MATCH($F$9,#REF!,0),FALSE),IF($C$9=551,VLOOKUP(B328,#REF!,MATCH($F$9,#REF!,0),FALSE))))))))),"REF. NÃO CADASTRADA NA TABELA")</f>
        <v/>
      </c>
      <c r="H328" s="36"/>
      <c r="I328" s="37" t="str">
        <f t="shared" si="7"/>
        <v/>
      </c>
      <c r="J328" s="33" t="str">
        <f t="shared" si="8"/>
        <v/>
      </c>
      <c r="K328" s="38" t="str">
        <f>IF($F$6="","",IF(B328="","",IF(C328="REF. NÃO CADASTRADA NA TABELA","",IFERROR(VLOOKUP(B328,#REF!,VLOOKUP($F$6,'BASE CONTÁBIL'!N:O,2,FALSE),FALSE),0))))</f>
        <v/>
      </c>
      <c r="L328" s="35" t="str">
        <f t="shared" si="9"/>
        <v/>
      </c>
      <c r="M328" s="35" t="str">
        <f t="shared" si="10"/>
        <v/>
      </c>
      <c r="N328" s="35" t="str">
        <f t="shared" si="11"/>
        <v/>
      </c>
      <c r="O328" s="35" t="str">
        <f t="shared" si="12"/>
        <v/>
      </c>
      <c r="P328" s="33" t="e">
        <f t="shared" si="13"/>
        <v>#REF!</v>
      </c>
      <c r="Q328" s="2"/>
      <c r="R328" s="2"/>
      <c r="S328" s="2"/>
      <c r="T328" s="2"/>
      <c r="U328" s="2"/>
    </row>
    <row r="329" spans="1:21" ht="12.75" customHeight="1" x14ac:dyDescent="0.2">
      <c r="A329" s="2"/>
      <c r="B329" s="40"/>
      <c r="C329" s="2"/>
      <c r="D329" s="2"/>
      <c r="E329" s="8"/>
      <c r="F329" s="2"/>
      <c r="G329" s="2"/>
      <c r="H329" s="2"/>
      <c r="I329" s="7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2.75" hidden="1" customHeight="1" x14ac:dyDescent="0.2">
      <c r="A330" s="2"/>
      <c r="B330" s="41">
        <v>8097</v>
      </c>
      <c r="C330" s="3"/>
      <c r="D330" s="3"/>
      <c r="E330" s="5"/>
      <c r="F330" s="3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2"/>
      <c r="R330" s="2"/>
      <c r="S330" s="2"/>
      <c r="T330" s="2"/>
      <c r="U330" s="2"/>
    </row>
    <row r="331" spans="1:21" ht="12.75" hidden="1" customHeight="1" x14ac:dyDescent="0.2">
      <c r="A331" s="2"/>
      <c r="B331" s="41">
        <v>8098</v>
      </c>
      <c r="C331" s="3"/>
      <c r="D331" s="3"/>
      <c r="E331" s="5"/>
      <c r="F331" s="3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2"/>
      <c r="R331" s="2"/>
      <c r="S331" s="2"/>
      <c r="T331" s="2"/>
      <c r="U331" s="2"/>
    </row>
    <row r="332" spans="1:21" ht="12.75" hidden="1" customHeight="1" x14ac:dyDescent="0.2">
      <c r="A332" s="2"/>
      <c r="B332" s="41">
        <v>8099</v>
      </c>
      <c r="C332" s="3"/>
      <c r="D332" s="3"/>
      <c r="E332" s="5"/>
      <c r="F332" s="3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2"/>
      <c r="R332" s="2"/>
      <c r="S332" s="2"/>
      <c r="T332" s="2"/>
      <c r="U332" s="2"/>
    </row>
    <row r="333" spans="1:21" ht="12.75" hidden="1" customHeight="1" x14ac:dyDescent="0.2">
      <c r="A333" s="2"/>
      <c r="B333" s="41">
        <v>8100</v>
      </c>
      <c r="C333" s="3"/>
      <c r="D333" s="3"/>
      <c r="E333" s="5"/>
      <c r="F333" s="3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2"/>
      <c r="R333" s="2"/>
      <c r="S333" s="2"/>
      <c r="T333" s="2"/>
      <c r="U333" s="2"/>
    </row>
    <row r="334" spans="1:21" ht="12.75" hidden="1" customHeight="1" x14ac:dyDescent="0.2">
      <c r="A334" s="2"/>
      <c r="B334" s="41">
        <v>8101</v>
      </c>
      <c r="C334" s="3"/>
      <c r="D334" s="3"/>
      <c r="E334" s="5"/>
      <c r="F334" s="3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2"/>
      <c r="R334" s="2"/>
      <c r="S334" s="2"/>
      <c r="T334" s="2"/>
      <c r="U334" s="2"/>
    </row>
    <row r="335" spans="1:21" ht="12.75" hidden="1" customHeight="1" x14ac:dyDescent="0.2">
      <c r="A335" s="2"/>
      <c r="B335" s="41">
        <v>8102</v>
      </c>
      <c r="C335" s="3"/>
      <c r="D335" s="3"/>
      <c r="E335" s="5"/>
      <c r="F335" s="3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2"/>
      <c r="R335" s="2"/>
      <c r="S335" s="2"/>
      <c r="T335" s="2"/>
      <c r="U335" s="2"/>
    </row>
    <row r="336" spans="1:21" ht="12.75" hidden="1" customHeight="1" x14ac:dyDescent="0.2">
      <c r="A336" s="2"/>
      <c r="B336" s="41">
        <v>8103</v>
      </c>
      <c r="C336" s="3"/>
      <c r="D336" s="3"/>
      <c r="E336" s="5"/>
      <c r="F336" s="3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2"/>
      <c r="R336" s="2"/>
      <c r="S336" s="2"/>
      <c r="T336" s="2"/>
      <c r="U336" s="2"/>
    </row>
    <row r="337" spans="1:21" ht="12.75" hidden="1" customHeight="1" x14ac:dyDescent="0.2">
      <c r="A337" s="2"/>
      <c r="B337" s="41">
        <v>8104</v>
      </c>
      <c r="C337" s="3"/>
      <c r="D337" s="3"/>
      <c r="E337" s="5"/>
      <c r="F337" s="3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2"/>
      <c r="R337" s="2"/>
      <c r="S337" s="2"/>
      <c r="T337" s="2"/>
      <c r="U337" s="2"/>
    </row>
    <row r="338" spans="1:21" ht="12.75" hidden="1" customHeight="1" x14ac:dyDescent="0.2">
      <c r="A338" s="2"/>
      <c r="B338" s="41">
        <v>8105</v>
      </c>
      <c r="C338" s="3"/>
      <c r="D338" s="3"/>
      <c r="E338" s="5"/>
      <c r="F338" s="3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2"/>
      <c r="R338" s="2"/>
      <c r="S338" s="2"/>
      <c r="T338" s="2"/>
      <c r="U338" s="2"/>
    </row>
    <row r="339" spans="1:21" ht="12.75" hidden="1" customHeight="1" x14ac:dyDescent="0.2">
      <c r="A339" s="2"/>
      <c r="B339" s="41">
        <v>8106</v>
      </c>
      <c r="C339" s="3"/>
      <c r="D339" s="3"/>
      <c r="E339" s="5"/>
      <c r="F339" s="3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2"/>
      <c r="R339" s="2"/>
      <c r="S339" s="2"/>
      <c r="T339" s="2"/>
      <c r="U339" s="2"/>
    </row>
    <row r="340" spans="1:21" ht="12.75" hidden="1" customHeight="1" x14ac:dyDescent="0.2">
      <c r="A340" s="2"/>
      <c r="B340" s="41">
        <v>8107</v>
      </c>
      <c r="C340" s="3"/>
      <c r="D340" s="3"/>
      <c r="E340" s="5"/>
      <c r="F340" s="3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2"/>
      <c r="R340" s="2"/>
      <c r="S340" s="2"/>
      <c r="T340" s="2"/>
      <c r="U340" s="2"/>
    </row>
    <row r="341" spans="1:21" ht="12.75" hidden="1" customHeight="1" x14ac:dyDescent="0.2">
      <c r="A341" s="2"/>
      <c r="B341" s="41">
        <v>8108</v>
      </c>
      <c r="C341" s="3"/>
      <c r="D341" s="3"/>
      <c r="E341" s="5"/>
      <c r="F341" s="3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2"/>
      <c r="R341" s="2"/>
      <c r="S341" s="2"/>
      <c r="T341" s="2"/>
      <c r="U341" s="2"/>
    </row>
    <row r="342" spans="1:21" ht="12.75" hidden="1" customHeight="1" x14ac:dyDescent="0.2">
      <c r="A342" s="2"/>
      <c r="B342" s="41">
        <v>8109</v>
      </c>
      <c r="C342" s="3"/>
      <c r="D342" s="3"/>
      <c r="E342" s="5"/>
      <c r="F342" s="3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2"/>
      <c r="R342" s="2"/>
      <c r="S342" s="2"/>
      <c r="T342" s="2"/>
      <c r="U342" s="2"/>
    </row>
    <row r="343" spans="1:21" ht="12.75" hidden="1" customHeight="1" x14ac:dyDescent="0.2">
      <c r="A343" s="2"/>
      <c r="B343" s="41">
        <v>8110</v>
      </c>
      <c r="C343" s="3"/>
      <c r="D343" s="3"/>
      <c r="E343" s="5"/>
      <c r="F343" s="3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2"/>
      <c r="R343" s="2"/>
      <c r="S343" s="2"/>
      <c r="T343" s="2"/>
      <c r="U343" s="2"/>
    </row>
    <row r="344" spans="1:21" ht="12.75" hidden="1" customHeight="1" x14ac:dyDescent="0.2">
      <c r="A344" s="2"/>
      <c r="B344" s="41">
        <v>8111</v>
      </c>
      <c r="C344" s="3"/>
      <c r="D344" s="3"/>
      <c r="E344" s="5"/>
      <c r="F344" s="3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2"/>
      <c r="R344" s="2"/>
      <c r="S344" s="2"/>
      <c r="T344" s="2"/>
      <c r="U344" s="2"/>
    </row>
    <row r="345" spans="1:21" ht="12.75" hidden="1" customHeight="1" x14ac:dyDescent="0.2">
      <c r="A345" s="2"/>
      <c r="B345" s="41">
        <v>8112</v>
      </c>
      <c r="C345" s="3"/>
      <c r="D345" s="3"/>
      <c r="E345" s="5"/>
      <c r="F345" s="3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2"/>
      <c r="R345" s="2"/>
      <c r="S345" s="2"/>
      <c r="T345" s="2"/>
      <c r="U345" s="2"/>
    </row>
    <row r="346" spans="1:21" ht="12.75" hidden="1" customHeight="1" x14ac:dyDescent="0.2">
      <c r="A346" s="2"/>
      <c r="B346" s="41">
        <v>8113</v>
      </c>
      <c r="C346" s="3"/>
      <c r="D346" s="3"/>
      <c r="E346" s="5"/>
      <c r="F346" s="3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2"/>
      <c r="R346" s="2"/>
      <c r="S346" s="2"/>
      <c r="T346" s="2"/>
      <c r="U346" s="2"/>
    </row>
    <row r="347" spans="1:21" ht="12.75" hidden="1" customHeight="1" x14ac:dyDescent="0.2">
      <c r="A347" s="2"/>
      <c r="B347" s="41">
        <v>8114</v>
      </c>
      <c r="C347" s="3"/>
      <c r="D347" s="3"/>
      <c r="E347" s="5"/>
      <c r="F347" s="3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2"/>
      <c r="R347" s="2"/>
      <c r="S347" s="2"/>
      <c r="T347" s="2"/>
      <c r="U347" s="2"/>
    </row>
    <row r="348" spans="1:21" ht="12.75" hidden="1" customHeight="1" x14ac:dyDescent="0.2">
      <c r="A348" s="2"/>
      <c r="B348" s="41">
        <v>8115</v>
      </c>
      <c r="C348" s="3"/>
      <c r="D348" s="3"/>
      <c r="E348" s="5"/>
      <c r="F348" s="3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2"/>
      <c r="R348" s="2"/>
      <c r="S348" s="2"/>
      <c r="T348" s="2"/>
      <c r="U348" s="2"/>
    </row>
    <row r="349" spans="1:21" ht="12.75" hidden="1" customHeight="1" x14ac:dyDescent="0.2">
      <c r="A349" s="2"/>
      <c r="B349" s="41">
        <v>8116</v>
      </c>
      <c r="C349" s="3"/>
      <c r="D349" s="3"/>
      <c r="E349" s="5"/>
      <c r="F349" s="3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2"/>
      <c r="R349" s="2"/>
      <c r="S349" s="2"/>
      <c r="T349" s="2"/>
      <c r="U349" s="2"/>
    </row>
    <row r="350" spans="1:21" ht="12.75" hidden="1" customHeight="1" x14ac:dyDescent="0.2">
      <c r="A350" s="2"/>
      <c r="B350" s="41">
        <v>8117</v>
      </c>
      <c r="C350" s="3"/>
      <c r="D350" s="3"/>
      <c r="E350" s="5"/>
      <c r="F350" s="3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2"/>
      <c r="R350" s="2"/>
      <c r="S350" s="2"/>
      <c r="T350" s="2"/>
      <c r="U350" s="2"/>
    </row>
    <row r="351" spans="1:21" ht="12.75" hidden="1" customHeight="1" x14ac:dyDescent="0.2">
      <c r="A351" s="2"/>
      <c r="B351" s="41">
        <v>8118</v>
      </c>
      <c r="C351" s="3"/>
      <c r="D351" s="3"/>
      <c r="E351" s="5"/>
      <c r="F351" s="3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2"/>
      <c r="R351" s="2"/>
      <c r="S351" s="2"/>
      <c r="T351" s="2"/>
      <c r="U351" s="2"/>
    </row>
    <row r="352" spans="1:21" ht="12.75" hidden="1" customHeight="1" x14ac:dyDescent="0.2">
      <c r="A352" s="2"/>
      <c r="B352" s="41">
        <v>8119</v>
      </c>
      <c r="C352" s="3"/>
      <c r="D352" s="3"/>
      <c r="E352" s="5"/>
      <c r="F352" s="3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2"/>
      <c r="R352" s="2"/>
      <c r="S352" s="2"/>
      <c r="T352" s="2"/>
      <c r="U352" s="2"/>
    </row>
    <row r="353" spans="1:21" ht="12.75" hidden="1" customHeight="1" x14ac:dyDescent="0.2">
      <c r="A353" s="2"/>
      <c r="B353" s="41">
        <v>8120</v>
      </c>
      <c r="C353" s="3"/>
      <c r="D353" s="3"/>
      <c r="E353" s="5"/>
      <c r="F353" s="3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2"/>
      <c r="R353" s="2"/>
      <c r="S353" s="2"/>
      <c r="T353" s="2"/>
      <c r="U353" s="2"/>
    </row>
    <row r="354" spans="1:21" ht="12.75" hidden="1" customHeight="1" x14ac:dyDescent="0.2">
      <c r="A354" s="2"/>
      <c r="B354" s="41">
        <v>8121</v>
      </c>
      <c r="C354" s="3"/>
      <c r="D354" s="3"/>
      <c r="E354" s="5"/>
      <c r="F354" s="3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2"/>
      <c r="R354" s="2"/>
      <c r="S354" s="2"/>
      <c r="T354" s="2"/>
      <c r="U354" s="2"/>
    </row>
    <row r="355" spans="1:21" ht="12.75" hidden="1" customHeight="1" x14ac:dyDescent="0.2">
      <c r="A355" s="2"/>
      <c r="B355" s="41">
        <v>8126</v>
      </c>
      <c r="C355" s="3"/>
      <c r="D355" s="3"/>
      <c r="E355" s="5"/>
      <c r="F355" s="3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2"/>
      <c r="R355" s="2"/>
      <c r="S355" s="2"/>
      <c r="T355" s="2"/>
      <c r="U355" s="2"/>
    </row>
    <row r="356" spans="1:21" ht="12.75" hidden="1" customHeight="1" x14ac:dyDescent="0.2">
      <c r="A356" s="2"/>
      <c r="B356" s="41">
        <v>8127</v>
      </c>
      <c r="C356" s="3"/>
      <c r="D356" s="3"/>
      <c r="E356" s="5"/>
      <c r="F356" s="3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2"/>
      <c r="R356" s="2"/>
      <c r="S356" s="2"/>
      <c r="T356" s="2"/>
      <c r="U356" s="2"/>
    </row>
    <row r="357" spans="1:21" ht="12.75" hidden="1" customHeight="1" x14ac:dyDescent="0.2">
      <c r="A357" s="2"/>
      <c r="B357" s="41">
        <v>8128</v>
      </c>
      <c r="C357" s="3"/>
      <c r="D357" s="3"/>
      <c r="E357" s="5"/>
      <c r="F357" s="3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2"/>
      <c r="R357" s="2"/>
      <c r="S357" s="2"/>
      <c r="T357" s="2"/>
      <c r="U357" s="2"/>
    </row>
    <row r="358" spans="1:21" ht="12.75" hidden="1" customHeight="1" x14ac:dyDescent="0.2">
      <c r="A358" s="2"/>
      <c r="B358" s="41">
        <v>8129</v>
      </c>
      <c r="C358" s="3"/>
      <c r="D358" s="3"/>
      <c r="E358" s="5"/>
      <c r="F358" s="3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2"/>
      <c r="R358" s="2"/>
      <c r="S358" s="2"/>
      <c r="T358" s="2"/>
      <c r="U358" s="2"/>
    </row>
    <row r="359" spans="1:21" ht="12.75" hidden="1" customHeight="1" x14ac:dyDescent="0.2">
      <c r="A359" s="2"/>
      <c r="B359" s="41">
        <v>8201</v>
      </c>
      <c r="C359" s="3"/>
      <c r="D359" s="3"/>
      <c r="E359" s="5"/>
      <c r="F359" s="3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2"/>
      <c r="R359" s="2"/>
      <c r="S359" s="2"/>
      <c r="T359" s="2"/>
      <c r="U359" s="2"/>
    </row>
    <row r="360" spans="1:21" ht="12.75" hidden="1" customHeight="1" x14ac:dyDescent="0.2">
      <c r="A360" s="2"/>
      <c r="B360" s="41">
        <v>8300</v>
      </c>
      <c r="C360" s="3"/>
      <c r="D360" s="3"/>
      <c r="E360" s="5"/>
      <c r="F360" s="3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2"/>
      <c r="R360" s="2"/>
      <c r="S360" s="2"/>
      <c r="T360" s="2"/>
      <c r="U360" s="2"/>
    </row>
    <row r="361" spans="1:21" ht="12.75" hidden="1" customHeight="1" x14ac:dyDescent="0.2">
      <c r="A361" s="2"/>
      <c r="B361" s="41">
        <v>8301</v>
      </c>
      <c r="C361" s="3"/>
      <c r="D361" s="3"/>
      <c r="E361" s="5"/>
      <c r="F361" s="3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2"/>
      <c r="R361" s="2"/>
      <c r="S361" s="2"/>
      <c r="T361" s="2"/>
      <c r="U361" s="2"/>
    </row>
    <row r="362" spans="1:21" ht="12.75" hidden="1" customHeight="1" x14ac:dyDescent="0.2">
      <c r="A362" s="2"/>
      <c r="B362" s="41">
        <v>8302</v>
      </c>
      <c r="C362" s="3"/>
      <c r="D362" s="3"/>
      <c r="E362" s="5"/>
      <c r="F362" s="3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2"/>
      <c r="R362" s="2"/>
      <c r="S362" s="2"/>
      <c r="T362" s="2"/>
      <c r="U362" s="2"/>
    </row>
    <row r="363" spans="1:21" ht="12.75" hidden="1" customHeight="1" x14ac:dyDescent="0.2">
      <c r="A363" s="2"/>
      <c r="B363" s="41">
        <v>8303</v>
      </c>
      <c r="C363" s="3"/>
      <c r="D363" s="3"/>
      <c r="E363" s="5"/>
      <c r="F363" s="3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2"/>
      <c r="R363" s="2"/>
      <c r="S363" s="2"/>
      <c r="T363" s="2"/>
      <c r="U363" s="2"/>
    </row>
    <row r="364" spans="1:21" ht="12.75" hidden="1" customHeight="1" x14ac:dyDescent="0.2">
      <c r="A364" s="2"/>
      <c r="B364" s="41">
        <v>8304</v>
      </c>
      <c r="C364" s="3"/>
      <c r="D364" s="3"/>
      <c r="E364" s="5"/>
      <c r="F364" s="3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2"/>
      <c r="R364" s="2"/>
      <c r="S364" s="2"/>
      <c r="T364" s="2"/>
      <c r="U364" s="2"/>
    </row>
    <row r="365" spans="1:21" ht="12.75" hidden="1" customHeight="1" x14ac:dyDescent="0.2">
      <c r="A365" s="2"/>
      <c r="B365" s="41">
        <v>8306</v>
      </c>
      <c r="C365" s="3"/>
      <c r="D365" s="3"/>
      <c r="E365" s="5"/>
      <c r="F365" s="3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2"/>
      <c r="R365" s="2"/>
      <c r="S365" s="2"/>
      <c r="T365" s="2"/>
      <c r="U365" s="2"/>
    </row>
    <row r="366" spans="1:21" ht="12.75" hidden="1" customHeight="1" x14ac:dyDescent="0.2">
      <c r="A366" s="2"/>
      <c r="B366" s="41">
        <v>8307</v>
      </c>
      <c r="C366" s="3"/>
      <c r="D366" s="3"/>
      <c r="E366" s="5"/>
      <c r="F366" s="3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2"/>
      <c r="R366" s="2"/>
      <c r="S366" s="2"/>
      <c r="T366" s="2"/>
      <c r="U366" s="2"/>
    </row>
    <row r="367" spans="1:21" ht="12.75" hidden="1" customHeight="1" x14ac:dyDescent="0.2">
      <c r="A367" s="2"/>
      <c r="B367" s="41">
        <v>8308</v>
      </c>
      <c r="C367" s="3"/>
      <c r="D367" s="3"/>
      <c r="E367" s="5"/>
      <c r="F367" s="3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2"/>
      <c r="R367" s="2"/>
      <c r="S367" s="2"/>
      <c r="T367" s="2"/>
      <c r="U367" s="2"/>
    </row>
    <row r="368" spans="1:21" ht="12.75" hidden="1" customHeight="1" x14ac:dyDescent="0.2">
      <c r="A368" s="2"/>
      <c r="B368" s="41">
        <v>8309</v>
      </c>
      <c r="C368" s="3"/>
      <c r="D368" s="3"/>
      <c r="E368" s="5"/>
      <c r="F368" s="3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2"/>
      <c r="R368" s="2"/>
      <c r="S368" s="2"/>
      <c r="T368" s="2"/>
      <c r="U368" s="2"/>
    </row>
    <row r="369" spans="1:21" ht="12.75" hidden="1" customHeight="1" x14ac:dyDescent="0.2">
      <c r="A369" s="2"/>
      <c r="B369" s="41">
        <v>8310</v>
      </c>
      <c r="C369" s="3"/>
      <c r="D369" s="3"/>
      <c r="E369" s="5"/>
      <c r="F369" s="3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2"/>
      <c r="R369" s="2"/>
      <c r="S369" s="2"/>
      <c r="T369" s="2"/>
      <c r="U369" s="2"/>
    </row>
    <row r="370" spans="1:21" ht="12.75" hidden="1" customHeight="1" x14ac:dyDescent="0.2">
      <c r="A370" s="2"/>
      <c r="B370" s="41">
        <v>8313</v>
      </c>
      <c r="C370" s="3"/>
      <c r="D370" s="3"/>
      <c r="E370" s="5"/>
      <c r="F370" s="3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2"/>
      <c r="R370" s="2"/>
      <c r="S370" s="2"/>
      <c r="T370" s="2"/>
      <c r="U370" s="2"/>
    </row>
    <row r="371" spans="1:21" ht="12.75" hidden="1" customHeight="1" x14ac:dyDescent="0.2">
      <c r="A371" s="2"/>
      <c r="B371" s="41">
        <v>8318</v>
      </c>
      <c r="C371" s="3"/>
      <c r="D371" s="3"/>
      <c r="E371" s="5"/>
      <c r="F371" s="3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2"/>
      <c r="R371" s="2"/>
      <c r="S371" s="2"/>
      <c r="T371" s="2"/>
      <c r="U371" s="2"/>
    </row>
    <row r="372" spans="1:21" ht="12.75" hidden="1" customHeight="1" x14ac:dyDescent="0.2">
      <c r="A372" s="2"/>
      <c r="B372" s="41">
        <v>8319</v>
      </c>
      <c r="C372" s="3"/>
      <c r="D372" s="3"/>
      <c r="E372" s="5"/>
      <c r="F372" s="3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2"/>
      <c r="R372" s="2"/>
      <c r="S372" s="2"/>
      <c r="T372" s="2"/>
      <c r="U372" s="2"/>
    </row>
    <row r="373" spans="1:21" ht="12.75" hidden="1" customHeight="1" x14ac:dyDescent="0.2">
      <c r="A373" s="2"/>
      <c r="B373" s="41">
        <v>8320</v>
      </c>
      <c r="C373" s="3"/>
      <c r="D373" s="3"/>
      <c r="E373" s="5"/>
      <c r="F373" s="3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2"/>
      <c r="R373" s="2"/>
      <c r="S373" s="2"/>
      <c r="T373" s="2"/>
      <c r="U373" s="2"/>
    </row>
    <row r="374" spans="1:21" ht="12.75" hidden="1" customHeight="1" x14ac:dyDescent="0.2">
      <c r="A374" s="2"/>
      <c r="B374" s="41">
        <v>8321</v>
      </c>
      <c r="C374" s="3"/>
      <c r="D374" s="3"/>
      <c r="E374" s="5"/>
      <c r="F374" s="3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2"/>
      <c r="R374" s="2"/>
      <c r="S374" s="2"/>
      <c r="T374" s="2"/>
      <c r="U374" s="2"/>
    </row>
    <row r="375" spans="1:21" ht="12.75" hidden="1" customHeight="1" x14ac:dyDescent="0.2">
      <c r="A375" s="2"/>
      <c r="B375" s="41">
        <v>8322</v>
      </c>
      <c r="C375" s="3"/>
      <c r="D375" s="3"/>
      <c r="E375" s="5"/>
      <c r="F375" s="3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2"/>
      <c r="R375" s="2"/>
      <c r="S375" s="2"/>
      <c r="T375" s="2"/>
      <c r="U375" s="2"/>
    </row>
    <row r="376" spans="1:21" ht="12.75" hidden="1" customHeight="1" x14ac:dyDescent="0.2">
      <c r="A376" s="2"/>
      <c r="B376" s="41">
        <v>8324</v>
      </c>
      <c r="C376" s="3"/>
      <c r="D376" s="3"/>
      <c r="E376" s="5"/>
      <c r="F376" s="3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2"/>
      <c r="R376" s="2"/>
      <c r="S376" s="2"/>
      <c r="T376" s="2"/>
      <c r="U376" s="2"/>
    </row>
    <row r="377" spans="1:21" ht="12.75" hidden="1" customHeight="1" x14ac:dyDescent="0.2">
      <c r="A377" s="2"/>
      <c r="B377" s="41">
        <v>8326</v>
      </c>
      <c r="C377" s="3"/>
      <c r="D377" s="3"/>
      <c r="E377" s="5"/>
      <c r="F377" s="3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2"/>
      <c r="R377" s="2"/>
      <c r="S377" s="2"/>
      <c r="T377" s="2"/>
      <c r="U377" s="2"/>
    </row>
    <row r="378" spans="1:21" ht="12.75" hidden="1" customHeight="1" x14ac:dyDescent="0.2">
      <c r="A378" s="2"/>
      <c r="B378" s="41">
        <v>8327</v>
      </c>
      <c r="C378" s="3"/>
      <c r="D378" s="3"/>
      <c r="E378" s="5"/>
      <c r="F378" s="3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2"/>
      <c r="R378" s="2"/>
      <c r="S378" s="2"/>
      <c r="T378" s="2"/>
      <c r="U378" s="2"/>
    </row>
    <row r="379" spans="1:21" ht="12.75" hidden="1" customHeight="1" x14ac:dyDescent="0.2">
      <c r="A379" s="2"/>
      <c r="B379" s="41">
        <v>8328</v>
      </c>
      <c r="C379" s="3"/>
      <c r="D379" s="3"/>
      <c r="E379" s="5"/>
      <c r="F379" s="3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2"/>
      <c r="R379" s="2"/>
      <c r="S379" s="2"/>
      <c r="T379" s="2"/>
      <c r="U379" s="2"/>
    </row>
    <row r="380" spans="1:21" ht="12.75" hidden="1" customHeight="1" x14ac:dyDescent="0.2">
      <c r="A380" s="2"/>
      <c r="B380" s="41">
        <v>8401</v>
      </c>
      <c r="C380" s="3"/>
      <c r="D380" s="3"/>
      <c r="E380" s="5"/>
      <c r="F380" s="3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2"/>
      <c r="R380" s="2"/>
      <c r="S380" s="2"/>
      <c r="T380" s="2"/>
      <c r="U380" s="2"/>
    </row>
    <row r="381" spans="1:21" ht="12.75" hidden="1" customHeight="1" x14ac:dyDescent="0.2">
      <c r="A381" s="2"/>
      <c r="B381" s="41">
        <v>9018</v>
      </c>
      <c r="C381" s="3"/>
      <c r="D381" s="3"/>
      <c r="E381" s="5"/>
      <c r="F381" s="3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2"/>
      <c r="R381" s="2"/>
      <c r="S381" s="2"/>
      <c r="T381" s="2"/>
      <c r="U381" s="2"/>
    </row>
    <row r="382" spans="1:21" ht="12.75" hidden="1" customHeight="1" x14ac:dyDescent="0.2">
      <c r="A382" s="2"/>
      <c r="B382" s="41">
        <v>9019</v>
      </c>
      <c r="C382" s="3"/>
      <c r="D382" s="3"/>
      <c r="E382" s="5"/>
      <c r="F382" s="3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2"/>
      <c r="R382" s="2"/>
      <c r="S382" s="2"/>
      <c r="T382" s="2"/>
      <c r="U382" s="2"/>
    </row>
    <row r="383" spans="1:21" ht="12.75" hidden="1" customHeight="1" x14ac:dyDescent="0.2">
      <c r="A383" s="2"/>
      <c r="B383" s="41">
        <v>9020</v>
      </c>
      <c r="C383" s="3"/>
      <c r="D383" s="3"/>
      <c r="E383" s="5"/>
      <c r="F383" s="3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2"/>
      <c r="R383" s="2"/>
      <c r="S383" s="2"/>
      <c r="T383" s="2"/>
      <c r="U383" s="2"/>
    </row>
    <row r="384" spans="1:21" ht="12.75" hidden="1" customHeight="1" x14ac:dyDescent="0.2">
      <c r="A384" s="2"/>
      <c r="B384" s="41">
        <v>9021</v>
      </c>
      <c r="C384" s="3"/>
      <c r="D384" s="3"/>
      <c r="E384" s="5"/>
      <c r="F384" s="3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2"/>
      <c r="R384" s="2"/>
      <c r="S384" s="2"/>
      <c r="T384" s="2"/>
      <c r="U384" s="2"/>
    </row>
    <row r="385" spans="1:21" ht="12.75" hidden="1" customHeight="1" x14ac:dyDescent="0.2">
      <c r="A385" s="2"/>
      <c r="B385" s="41">
        <v>9022</v>
      </c>
      <c r="C385" s="3"/>
      <c r="D385" s="3"/>
      <c r="E385" s="5"/>
      <c r="F385" s="3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2"/>
      <c r="R385" s="2"/>
      <c r="S385" s="2"/>
      <c r="T385" s="2"/>
      <c r="U385" s="2"/>
    </row>
    <row r="386" spans="1:21" ht="12.75" hidden="1" customHeight="1" x14ac:dyDescent="0.2">
      <c r="A386" s="2"/>
      <c r="B386" s="41">
        <v>9023</v>
      </c>
      <c r="C386" s="3"/>
      <c r="D386" s="3"/>
      <c r="E386" s="5"/>
      <c r="F386" s="3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2"/>
      <c r="R386" s="2"/>
      <c r="S386" s="2"/>
      <c r="T386" s="2"/>
      <c r="U386" s="2"/>
    </row>
    <row r="387" spans="1:21" ht="12.75" hidden="1" customHeight="1" x14ac:dyDescent="0.2">
      <c r="A387" s="2"/>
      <c r="B387" s="41">
        <v>9024</v>
      </c>
      <c r="C387" s="3"/>
      <c r="D387" s="3"/>
      <c r="E387" s="5"/>
      <c r="F387" s="3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2"/>
      <c r="R387" s="2"/>
      <c r="S387" s="2"/>
      <c r="T387" s="2"/>
      <c r="U387" s="2"/>
    </row>
    <row r="388" spans="1:21" ht="12.75" hidden="1" customHeight="1" x14ac:dyDescent="0.2">
      <c r="A388" s="2"/>
      <c r="B388" s="41">
        <v>9025</v>
      </c>
      <c r="C388" s="3"/>
      <c r="D388" s="3"/>
      <c r="E388" s="5"/>
      <c r="F388" s="3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2"/>
      <c r="R388" s="2"/>
      <c r="S388" s="2"/>
      <c r="T388" s="2"/>
      <c r="U388" s="2"/>
    </row>
    <row r="389" spans="1:21" ht="12.75" hidden="1" customHeight="1" x14ac:dyDescent="0.2">
      <c r="A389" s="2"/>
      <c r="B389" s="41">
        <v>9026</v>
      </c>
      <c r="C389" s="3"/>
      <c r="D389" s="3"/>
      <c r="E389" s="5"/>
      <c r="F389" s="3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2"/>
      <c r="R389" s="2"/>
      <c r="S389" s="2"/>
      <c r="T389" s="2"/>
      <c r="U389" s="2"/>
    </row>
    <row r="390" spans="1:21" ht="12.75" hidden="1" customHeight="1" x14ac:dyDescent="0.2">
      <c r="A390" s="2"/>
      <c r="B390" s="41">
        <v>9028</v>
      </c>
      <c r="C390" s="3"/>
      <c r="D390" s="3"/>
      <c r="E390" s="5"/>
      <c r="F390" s="3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2"/>
      <c r="R390" s="2"/>
      <c r="S390" s="2"/>
      <c r="T390" s="2"/>
      <c r="U390" s="2"/>
    </row>
    <row r="391" spans="1:21" ht="12.75" hidden="1" customHeight="1" x14ac:dyDescent="0.2">
      <c r="A391" s="2"/>
      <c r="B391" s="41">
        <v>9029</v>
      </c>
      <c r="C391" s="3"/>
      <c r="D391" s="3"/>
      <c r="E391" s="5"/>
      <c r="F391" s="3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2"/>
      <c r="R391" s="2"/>
      <c r="S391" s="2"/>
      <c r="T391" s="2"/>
      <c r="U391" s="2"/>
    </row>
    <row r="392" spans="1:21" ht="12.75" hidden="1" customHeight="1" x14ac:dyDescent="0.2">
      <c r="A392" s="2"/>
      <c r="B392" s="41">
        <v>9030</v>
      </c>
      <c r="C392" s="3"/>
      <c r="D392" s="3"/>
      <c r="E392" s="5"/>
      <c r="F392" s="3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2"/>
      <c r="R392" s="2"/>
      <c r="S392" s="2"/>
      <c r="T392" s="2"/>
      <c r="U392" s="2"/>
    </row>
    <row r="393" spans="1:21" ht="12.75" hidden="1" customHeight="1" x14ac:dyDescent="0.2">
      <c r="A393" s="2"/>
      <c r="B393" s="41">
        <v>9031</v>
      </c>
      <c r="C393" s="3"/>
      <c r="D393" s="3"/>
      <c r="E393" s="5"/>
      <c r="F393" s="3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2"/>
      <c r="R393" s="2"/>
      <c r="S393" s="2"/>
      <c r="T393" s="2"/>
      <c r="U393" s="2"/>
    </row>
    <row r="394" spans="1:21" ht="12.75" hidden="1" customHeight="1" x14ac:dyDescent="0.2">
      <c r="A394" s="2"/>
      <c r="B394" s="41">
        <v>9032</v>
      </c>
      <c r="C394" s="3"/>
      <c r="D394" s="3"/>
      <c r="E394" s="5"/>
      <c r="F394" s="3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2"/>
      <c r="R394" s="2"/>
      <c r="S394" s="2"/>
      <c r="T394" s="2"/>
      <c r="U394" s="2"/>
    </row>
    <row r="395" spans="1:21" ht="12.75" hidden="1" customHeight="1" x14ac:dyDescent="0.2">
      <c r="A395" s="2"/>
      <c r="B395" s="41">
        <v>9033</v>
      </c>
      <c r="C395" s="3"/>
      <c r="D395" s="3"/>
      <c r="E395" s="5"/>
      <c r="F395" s="3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2"/>
      <c r="R395" s="2"/>
      <c r="S395" s="2"/>
      <c r="T395" s="2"/>
      <c r="U395" s="2"/>
    </row>
    <row r="396" spans="1:21" ht="12.75" hidden="1" customHeight="1" x14ac:dyDescent="0.2">
      <c r="A396" s="2"/>
      <c r="B396" s="41">
        <v>9034</v>
      </c>
      <c r="C396" s="3"/>
      <c r="D396" s="3"/>
      <c r="E396" s="5"/>
      <c r="F396" s="3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2"/>
      <c r="R396" s="2"/>
      <c r="S396" s="2"/>
      <c r="T396" s="2"/>
      <c r="U396" s="2"/>
    </row>
    <row r="397" spans="1:21" ht="12.75" hidden="1" customHeight="1" x14ac:dyDescent="0.2">
      <c r="A397" s="2"/>
      <c r="B397" s="41">
        <v>9035</v>
      </c>
      <c r="C397" s="3"/>
      <c r="D397" s="3"/>
      <c r="E397" s="5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2"/>
      <c r="R397" s="2"/>
      <c r="S397" s="2"/>
      <c r="T397" s="2"/>
      <c r="U397" s="2"/>
    </row>
    <row r="398" spans="1:21" ht="12.75" hidden="1" customHeight="1" x14ac:dyDescent="0.2">
      <c r="A398" s="2"/>
      <c r="B398" s="41">
        <v>9037</v>
      </c>
      <c r="C398" s="3"/>
      <c r="D398" s="3"/>
      <c r="E398" s="5"/>
      <c r="F398" s="3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2"/>
      <c r="R398" s="2"/>
      <c r="S398" s="2"/>
      <c r="T398" s="2"/>
      <c r="U398" s="2"/>
    </row>
    <row r="399" spans="1:21" ht="12.75" hidden="1" customHeight="1" x14ac:dyDescent="0.2">
      <c r="A399" s="2"/>
      <c r="B399" s="41">
        <v>9038</v>
      </c>
      <c r="C399" s="3"/>
      <c r="D399" s="3"/>
      <c r="E399" s="5"/>
      <c r="F399" s="3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2"/>
      <c r="R399" s="2"/>
      <c r="S399" s="2"/>
      <c r="T399" s="2"/>
      <c r="U399" s="2"/>
    </row>
    <row r="400" spans="1:21" ht="12.75" hidden="1" customHeight="1" x14ac:dyDescent="0.2">
      <c r="A400" s="2"/>
      <c r="B400" s="41">
        <v>9039</v>
      </c>
      <c r="C400" s="3"/>
      <c r="D400" s="3"/>
      <c r="E400" s="5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2"/>
      <c r="R400" s="2"/>
      <c r="S400" s="2"/>
      <c r="T400" s="2"/>
      <c r="U400" s="2"/>
    </row>
    <row r="401" spans="1:21" ht="12.75" hidden="1" customHeight="1" x14ac:dyDescent="0.2">
      <c r="A401" s="2"/>
      <c r="B401" s="41">
        <v>9047</v>
      </c>
      <c r="C401" s="3"/>
      <c r="D401" s="3"/>
      <c r="E401" s="5"/>
      <c r="F401" s="3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2"/>
      <c r="R401" s="2"/>
      <c r="S401" s="2"/>
      <c r="T401" s="2"/>
      <c r="U401" s="2"/>
    </row>
    <row r="402" spans="1:21" ht="12.75" hidden="1" customHeight="1" x14ac:dyDescent="0.2">
      <c r="A402" s="2"/>
      <c r="B402" s="41">
        <v>1514</v>
      </c>
      <c r="C402" s="3"/>
      <c r="D402" s="3"/>
      <c r="E402" s="5"/>
      <c r="F402" s="3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2"/>
      <c r="R402" s="2"/>
      <c r="S402" s="2"/>
      <c r="T402" s="2"/>
      <c r="U402" s="2"/>
    </row>
    <row r="403" spans="1:21" ht="12.75" hidden="1" customHeight="1" x14ac:dyDescent="0.2">
      <c r="A403" s="2"/>
      <c r="B403" s="41">
        <v>1515</v>
      </c>
      <c r="C403" s="3"/>
      <c r="D403" s="3"/>
      <c r="E403" s="5"/>
      <c r="F403" s="3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2"/>
      <c r="R403" s="2"/>
      <c r="S403" s="2"/>
      <c r="T403" s="2"/>
      <c r="U403" s="2"/>
    </row>
    <row r="404" spans="1:21" ht="12.75" hidden="1" customHeight="1" x14ac:dyDescent="0.2">
      <c r="A404" s="2"/>
      <c r="B404" s="41">
        <v>1516</v>
      </c>
      <c r="C404" s="3"/>
      <c r="D404" s="3"/>
      <c r="E404" s="5"/>
      <c r="F404" s="3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2"/>
      <c r="R404" s="2"/>
      <c r="S404" s="2"/>
      <c r="T404" s="2"/>
      <c r="U404" s="2"/>
    </row>
    <row r="405" spans="1:21" ht="12.75" hidden="1" customHeight="1" x14ac:dyDescent="0.2">
      <c r="A405" s="2"/>
      <c r="B405" s="41">
        <v>1517</v>
      </c>
      <c r="C405" s="3"/>
      <c r="D405" s="3"/>
      <c r="E405" s="5"/>
      <c r="F405" s="3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2"/>
      <c r="R405" s="2"/>
      <c r="S405" s="2"/>
      <c r="T405" s="2"/>
      <c r="U405" s="2"/>
    </row>
    <row r="406" spans="1:21" ht="12.75" hidden="1" customHeight="1" x14ac:dyDescent="0.2">
      <c r="A406" s="2"/>
      <c r="B406" s="41">
        <v>1518</v>
      </c>
      <c r="C406" s="3"/>
      <c r="D406" s="3"/>
      <c r="E406" s="5"/>
      <c r="F406" s="3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2"/>
      <c r="R406" s="2"/>
      <c r="S406" s="2"/>
      <c r="T406" s="2"/>
      <c r="U406" s="2"/>
    </row>
    <row r="407" spans="1:21" ht="12.75" hidden="1" customHeight="1" x14ac:dyDescent="0.2">
      <c r="A407" s="2"/>
      <c r="B407" s="41">
        <v>1519</v>
      </c>
      <c r="C407" s="3"/>
      <c r="D407" s="3"/>
      <c r="E407" s="5"/>
      <c r="F407" s="3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2"/>
      <c r="R407" s="2"/>
      <c r="S407" s="2"/>
      <c r="T407" s="2"/>
      <c r="U407" s="2"/>
    </row>
    <row r="408" spans="1:21" ht="12.75" hidden="1" customHeight="1" x14ac:dyDescent="0.2">
      <c r="A408" s="2"/>
      <c r="B408" s="41">
        <v>1520</v>
      </c>
      <c r="C408" s="3"/>
      <c r="D408" s="3"/>
      <c r="E408" s="5"/>
      <c r="F408" s="3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2"/>
      <c r="R408" s="2"/>
      <c r="S408" s="2"/>
      <c r="T408" s="2"/>
      <c r="U408" s="2"/>
    </row>
    <row r="409" spans="1:21" ht="12.75" hidden="1" customHeight="1" x14ac:dyDescent="0.2">
      <c r="A409" s="2"/>
      <c r="B409" s="41">
        <v>1521</v>
      </c>
      <c r="C409" s="3"/>
      <c r="D409" s="3"/>
      <c r="E409" s="5"/>
      <c r="F409" s="3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2"/>
      <c r="R409" s="2"/>
      <c r="S409" s="2"/>
      <c r="T409" s="2"/>
      <c r="U409" s="2"/>
    </row>
    <row r="410" spans="1:21" ht="12.75" hidden="1" customHeight="1" x14ac:dyDescent="0.2">
      <c r="A410" s="2"/>
      <c r="B410" s="41">
        <v>1522</v>
      </c>
      <c r="C410" s="3"/>
      <c r="D410" s="3"/>
      <c r="E410" s="5"/>
      <c r="F410" s="3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2"/>
      <c r="R410" s="2"/>
      <c r="S410" s="2"/>
      <c r="T410" s="2"/>
      <c r="U410" s="2"/>
    </row>
    <row r="411" spans="1:21" ht="12.75" hidden="1" customHeight="1" x14ac:dyDescent="0.2">
      <c r="A411" s="2"/>
      <c r="B411" s="41">
        <v>1523</v>
      </c>
      <c r="C411" s="3"/>
      <c r="D411" s="3"/>
      <c r="E411" s="5"/>
      <c r="F411" s="3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2"/>
      <c r="R411" s="2"/>
      <c r="S411" s="2"/>
      <c r="T411" s="2"/>
      <c r="U411" s="2"/>
    </row>
    <row r="412" spans="1:21" ht="12.75" hidden="1" customHeight="1" x14ac:dyDescent="0.2">
      <c r="A412" s="2"/>
      <c r="B412" s="41">
        <v>1524</v>
      </c>
      <c r="C412" s="3"/>
      <c r="D412" s="3"/>
      <c r="E412" s="5"/>
      <c r="F412" s="3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2"/>
      <c r="R412" s="2"/>
      <c r="S412" s="2"/>
      <c r="T412" s="2"/>
      <c r="U412" s="2"/>
    </row>
    <row r="413" spans="1:21" ht="12.75" hidden="1" customHeight="1" x14ac:dyDescent="0.2">
      <c r="A413" s="2"/>
      <c r="B413" s="41">
        <v>1525</v>
      </c>
      <c r="C413" s="3"/>
      <c r="D413" s="3"/>
      <c r="E413" s="5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2"/>
      <c r="R413" s="2"/>
      <c r="S413" s="2"/>
      <c r="T413" s="2"/>
      <c r="U413" s="2"/>
    </row>
    <row r="414" spans="1:21" ht="12.75" hidden="1" customHeight="1" x14ac:dyDescent="0.2">
      <c r="A414" s="2"/>
      <c r="B414" s="41">
        <v>1526</v>
      </c>
      <c r="C414" s="3"/>
      <c r="D414" s="3"/>
      <c r="E414" s="5"/>
      <c r="F414" s="3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2"/>
      <c r="R414" s="2"/>
      <c r="S414" s="2"/>
      <c r="T414" s="2"/>
      <c r="U414" s="2"/>
    </row>
    <row r="415" spans="1:21" ht="12.75" hidden="1" customHeight="1" x14ac:dyDescent="0.2">
      <c r="A415" s="2"/>
      <c r="B415" s="41">
        <v>1527</v>
      </c>
      <c r="C415" s="3"/>
      <c r="D415" s="3"/>
      <c r="E415" s="5"/>
      <c r="F415" s="3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2"/>
      <c r="R415" s="2"/>
      <c r="S415" s="2"/>
      <c r="T415" s="2"/>
      <c r="U415" s="2"/>
    </row>
    <row r="416" spans="1:21" ht="12.75" hidden="1" customHeight="1" x14ac:dyDescent="0.2">
      <c r="A416" s="2"/>
      <c r="B416" s="41">
        <v>1528</v>
      </c>
      <c r="C416" s="3"/>
      <c r="D416" s="3"/>
      <c r="E416" s="5"/>
      <c r="F416" s="3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2"/>
      <c r="R416" s="2"/>
      <c r="S416" s="2"/>
      <c r="T416" s="2"/>
      <c r="U416" s="2"/>
    </row>
    <row r="417" spans="1:21" ht="12.75" hidden="1" customHeight="1" x14ac:dyDescent="0.2">
      <c r="A417" s="2"/>
      <c r="B417" s="41">
        <v>1529</v>
      </c>
      <c r="C417" s="3"/>
      <c r="D417" s="3"/>
      <c r="E417" s="5"/>
      <c r="F417" s="3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2"/>
      <c r="R417" s="2"/>
      <c r="S417" s="2"/>
      <c r="T417" s="2"/>
      <c r="U417" s="2"/>
    </row>
    <row r="418" spans="1:21" ht="12.75" hidden="1" customHeight="1" x14ac:dyDescent="0.2">
      <c r="A418" s="2"/>
      <c r="B418" s="41">
        <v>1530</v>
      </c>
      <c r="C418" s="3"/>
      <c r="D418" s="3"/>
      <c r="E418" s="5"/>
      <c r="F418" s="3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2"/>
      <c r="R418" s="2"/>
      <c r="S418" s="2"/>
      <c r="T418" s="2"/>
      <c r="U418" s="2"/>
    </row>
    <row r="419" spans="1:21" ht="12.75" hidden="1" customHeight="1" x14ac:dyDescent="0.2">
      <c r="A419" s="2"/>
      <c r="B419" s="41">
        <v>1531</v>
      </c>
      <c r="C419" s="3"/>
      <c r="D419" s="3"/>
      <c r="E419" s="5"/>
      <c r="F419" s="3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2"/>
      <c r="R419" s="2"/>
      <c r="S419" s="2"/>
      <c r="T419" s="2"/>
      <c r="U419" s="2"/>
    </row>
    <row r="420" spans="1:21" ht="12.75" hidden="1" customHeight="1" x14ac:dyDescent="0.2">
      <c r="A420" s="2"/>
      <c r="B420" s="41">
        <v>1532</v>
      </c>
      <c r="C420" s="3"/>
      <c r="D420" s="3"/>
      <c r="E420" s="5"/>
      <c r="F420" s="3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2"/>
      <c r="R420" s="2"/>
      <c r="S420" s="2"/>
      <c r="T420" s="2"/>
      <c r="U420" s="2"/>
    </row>
    <row r="421" spans="1:21" ht="12.75" hidden="1" customHeight="1" x14ac:dyDescent="0.2">
      <c r="A421" s="2"/>
      <c r="B421" s="41">
        <v>1533</v>
      </c>
      <c r="C421" s="3"/>
      <c r="D421" s="3"/>
      <c r="E421" s="5"/>
      <c r="F421" s="3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2"/>
      <c r="R421" s="2"/>
      <c r="S421" s="2"/>
      <c r="T421" s="2"/>
      <c r="U421" s="2"/>
    </row>
    <row r="422" spans="1:21" ht="12.75" hidden="1" customHeight="1" x14ac:dyDescent="0.2">
      <c r="A422" s="2"/>
      <c r="B422" s="41">
        <v>1534</v>
      </c>
      <c r="C422" s="3"/>
      <c r="D422" s="3"/>
      <c r="E422" s="5"/>
      <c r="F422" s="3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2"/>
      <c r="R422" s="2"/>
      <c r="S422" s="2"/>
      <c r="T422" s="2"/>
      <c r="U422" s="2"/>
    </row>
    <row r="423" spans="1:21" ht="12.75" hidden="1" customHeight="1" x14ac:dyDescent="0.2">
      <c r="A423" s="2"/>
      <c r="B423" s="41">
        <v>1537</v>
      </c>
      <c r="C423" s="3"/>
      <c r="D423" s="3"/>
      <c r="E423" s="5"/>
      <c r="F423" s="3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2"/>
      <c r="R423" s="2"/>
      <c r="S423" s="2"/>
      <c r="T423" s="2"/>
      <c r="U423" s="2"/>
    </row>
    <row r="424" spans="1:21" ht="12.75" hidden="1" customHeight="1" x14ac:dyDescent="0.2">
      <c r="A424" s="2"/>
      <c r="B424" s="41">
        <v>1538</v>
      </c>
      <c r="C424" s="3"/>
      <c r="D424" s="3"/>
      <c r="E424" s="5"/>
      <c r="F424" s="3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2"/>
      <c r="R424" s="2"/>
      <c r="S424" s="2"/>
      <c r="T424" s="2"/>
      <c r="U424" s="2"/>
    </row>
    <row r="425" spans="1:21" ht="12.75" hidden="1" customHeight="1" x14ac:dyDescent="0.2">
      <c r="A425" s="2"/>
      <c r="B425" s="41">
        <v>1539</v>
      </c>
      <c r="C425" s="3"/>
      <c r="D425" s="3"/>
      <c r="E425" s="5"/>
      <c r="F425" s="3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2"/>
      <c r="R425" s="2"/>
      <c r="S425" s="2"/>
      <c r="T425" s="2"/>
      <c r="U425" s="2"/>
    </row>
    <row r="426" spans="1:21" ht="12.75" hidden="1" customHeight="1" x14ac:dyDescent="0.2">
      <c r="A426" s="2"/>
      <c r="B426" s="41">
        <v>1540</v>
      </c>
      <c r="C426" s="3"/>
      <c r="D426" s="3"/>
      <c r="E426" s="5"/>
      <c r="F426" s="3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2"/>
      <c r="R426" s="2"/>
      <c r="S426" s="2"/>
      <c r="T426" s="2"/>
      <c r="U426" s="2"/>
    </row>
    <row r="427" spans="1:21" ht="12.75" hidden="1" customHeight="1" x14ac:dyDescent="0.2">
      <c r="A427" s="2"/>
      <c r="B427" s="41">
        <v>1541</v>
      </c>
      <c r="C427" s="3"/>
      <c r="D427" s="3"/>
      <c r="E427" s="5"/>
      <c r="F427" s="3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2"/>
      <c r="R427" s="2"/>
      <c r="S427" s="2"/>
      <c r="T427" s="2"/>
      <c r="U427" s="2"/>
    </row>
    <row r="428" spans="1:21" ht="12.75" hidden="1" customHeight="1" x14ac:dyDescent="0.2">
      <c r="A428" s="2"/>
      <c r="B428" s="41">
        <v>1542</v>
      </c>
      <c r="C428" s="3"/>
      <c r="D428" s="3"/>
      <c r="E428" s="5"/>
      <c r="F428" s="3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2"/>
      <c r="R428" s="2"/>
      <c r="S428" s="2"/>
      <c r="T428" s="2"/>
      <c r="U428" s="2"/>
    </row>
    <row r="429" spans="1:21" ht="12.75" hidden="1" customHeight="1" x14ac:dyDescent="0.2">
      <c r="A429" s="2"/>
      <c r="B429" s="41">
        <v>1546</v>
      </c>
      <c r="C429" s="3"/>
      <c r="D429" s="3"/>
      <c r="E429" s="5"/>
      <c r="F429" s="3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2"/>
      <c r="R429" s="2"/>
      <c r="S429" s="2"/>
      <c r="T429" s="2"/>
      <c r="U429" s="2"/>
    </row>
    <row r="430" spans="1:21" ht="12.75" hidden="1" customHeight="1" x14ac:dyDescent="0.2">
      <c r="A430" s="2"/>
      <c r="B430" s="41">
        <v>1548</v>
      </c>
      <c r="C430" s="3"/>
      <c r="D430" s="3"/>
      <c r="E430" s="5"/>
      <c r="F430" s="3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2"/>
      <c r="R430" s="2"/>
      <c r="S430" s="2"/>
      <c r="T430" s="2"/>
      <c r="U430" s="2"/>
    </row>
    <row r="431" spans="1:21" ht="12.75" hidden="1" customHeight="1" x14ac:dyDescent="0.2">
      <c r="A431" s="2"/>
      <c r="B431" s="41">
        <v>1549</v>
      </c>
      <c r="C431" s="3"/>
      <c r="D431" s="3"/>
      <c r="E431" s="5"/>
      <c r="F431" s="3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2"/>
      <c r="R431" s="2"/>
      <c r="S431" s="2"/>
      <c r="T431" s="2"/>
      <c r="U431" s="2"/>
    </row>
    <row r="432" spans="1:21" ht="12.75" hidden="1" customHeight="1" x14ac:dyDescent="0.2">
      <c r="A432" s="2"/>
      <c r="B432" s="41">
        <v>1550</v>
      </c>
      <c r="C432" s="3"/>
      <c r="D432" s="3"/>
      <c r="E432" s="5"/>
      <c r="F432" s="3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2"/>
      <c r="R432" s="2"/>
      <c r="S432" s="2"/>
      <c r="T432" s="2"/>
      <c r="U432" s="2"/>
    </row>
    <row r="433" spans="1:21" ht="12.75" hidden="1" customHeight="1" x14ac:dyDescent="0.2">
      <c r="A433" s="2"/>
      <c r="B433" s="41">
        <v>1551</v>
      </c>
      <c r="C433" s="3"/>
      <c r="D433" s="3"/>
      <c r="E433" s="5"/>
      <c r="F433" s="3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2"/>
      <c r="R433" s="2"/>
      <c r="S433" s="2"/>
      <c r="T433" s="2"/>
      <c r="U433" s="2"/>
    </row>
    <row r="434" spans="1:21" ht="12.75" hidden="1" customHeight="1" x14ac:dyDescent="0.2">
      <c r="A434" s="2"/>
      <c r="B434" s="41">
        <v>1552</v>
      </c>
      <c r="C434" s="3"/>
      <c r="D434" s="3"/>
      <c r="E434" s="5"/>
      <c r="F434" s="3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2"/>
      <c r="R434" s="2"/>
      <c r="S434" s="2"/>
      <c r="T434" s="2"/>
      <c r="U434" s="2"/>
    </row>
    <row r="435" spans="1:21" ht="12.75" hidden="1" customHeight="1" x14ac:dyDescent="0.2">
      <c r="A435" s="2"/>
      <c r="B435" s="41">
        <v>1553</v>
      </c>
      <c r="C435" s="3"/>
      <c r="D435" s="3"/>
      <c r="E435" s="5"/>
      <c r="F435" s="3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2"/>
      <c r="R435" s="2"/>
      <c r="S435" s="2"/>
      <c r="T435" s="2"/>
      <c r="U435" s="2"/>
    </row>
    <row r="436" spans="1:21" ht="12.75" hidden="1" customHeight="1" x14ac:dyDescent="0.2">
      <c r="A436" s="2"/>
      <c r="B436" s="41">
        <v>1556</v>
      </c>
      <c r="C436" s="3"/>
      <c r="D436" s="3"/>
      <c r="E436" s="5"/>
      <c r="F436" s="3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2"/>
      <c r="R436" s="2"/>
      <c r="S436" s="2"/>
      <c r="T436" s="2"/>
      <c r="U436" s="2"/>
    </row>
    <row r="437" spans="1:21" ht="12.75" hidden="1" customHeight="1" x14ac:dyDescent="0.2">
      <c r="A437" s="2"/>
      <c r="B437" s="41">
        <v>1557</v>
      </c>
      <c r="C437" s="3"/>
      <c r="D437" s="3"/>
      <c r="E437" s="5"/>
      <c r="F437" s="3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2"/>
      <c r="R437" s="2"/>
      <c r="S437" s="2"/>
      <c r="T437" s="2"/>
      <c r="U437" s="2"/>
    </row>
    <row r="438" spans="1:21" ht="12.75" hidden="1" customHeight="1" x14ac:dyDescent="0.2">
      <c r="A438" s="2"/>
      <c r="B438" s="41">
        <v>1558</v>
      </c>
      <c r="C438" s="3"/>
      <c r="D438" s="3"/>
      <c r="E438" s="5"/>
      <c r="F438" s="3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2"/>
      <c r="R438" s="2"/>
      <c r="S438" s="2"/>
      <c r="T438" s="2"/>
      <c r="U438" s="2"/>
    </row>
    <row r="439" spans="1:21" ht="12.75" hidden="1" customHeight="1" x14ac:dyDescent="0.2">
      <c r="A439" s="2"/>
      <c r="B439" s="41">
        <v>1559</v>
      </c>
      <c r="C439" s="3"/>
      <c r="D439" s="3"/>
      <c r="E439" s="5"/>
      <c r="F439" s="3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2"/>
      <c r="R439" s="2"/>
      <c r="S439" s="2"/>
      <c r="T439" s="2"/>
      <c r="U439" s="2"/>
    </row>
    <row r="440" spans="1:21" ht="12.75" hidden="1" customHeight="1" x14ac:dyDescent="0.2">
      <c r="A440" s="2"/>
      <c r="B440" s="41">
        <v>1560</v>
      </c>
      <c r="C440" s="3"/>
      <c r="D440" s="3"/>
      <c r="E440" s="5"/>
      <c r="F440" s="3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2"/>
      <c r="R440" s="2"/>
      <c r="S440" s="2"/>
      <c r="T440" s="2"/>
      <c r="U440" s="2"/>
    </row>
    <row r="441" spans="1:21" ht="12.75" hidden="1" customHeight="1" x14ac:dyDescent="0.2">
      <c r="A441" s="2"/>
      <c r="B441" s="41">
        <v>1562</v>
      </c>
      <c r="C441" s="3"/>
      <c r="D441" s="3"/>
      <c r="E441" s="5"/>
      <c r="F441" s="3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2"/>
      <c r="R441" s="2"/>
      <c r="S441" s="2"/>
      <c r="T441" s="2"/>
      <c r="U441" s="2"/>
    </row>
    <row r="442" spans="1:21" ht="12.75" hidden="1" customHeight="1" x14ac:dyDescent="0.2">
      <c r="A442" s="2"/>
      <c r="B442" s="41">
        <v>1563</v>
      </c>
      <c r="C442" s="3"/>
      <c r="D442" s="3"/>
      <c r="E442" s="5"/>
      <c r="F442" s="3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2"/>
      <c r="R442" s="2"/>
      <c r="S442" s="2"/>
      <c r="T442" s="2"/>
      <c r="U442" s="2"/>
    </row>
    <row r="443" spans="1:21" ht="12.75" hidden="1" customHeight="1" x14ac:dyDescent="0.2">
      <c r="A443" s="2"/>
      <c r="B443" s="41">
        <v>1564</v>
      </c>
      <c r="C443" s="3"/>
      <c r="D443" s="3"/>
      <c r="E443" s="5"/>
      <c r="F443" s="3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2"/>
      <c r="R443" s="2"/>
      <c r="S443" s="2"/>
      <c r="T443" s="2"/>
      <c r="U443" s="2"/>
    </row>
    <row r="444" spans="1:21" ht="12.75" hidden="1" customHeight="1" x14ac:dyDescent="0.2">
      <c r="A444" s="2"/>
      <c r="B444" s="41">
        <v>1565</v>
      </c>
      <c r="C444" s="3"/>
      <c r="D444" s="3"/>
      <c r="E444" s="5"/>
      <c r="F444" s="3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2"/>
      <c r="R444" s="2"/>
      <c r="S444" s="2"/>
      <c r="T444" s="2"/>
      <c r="U444" s="2"/>
    </row>
    <row r="445" spans="1:21" ht="12.75" hidden="1" customHeight="1" x14ac:dyDescent="0.2">
      <c r="A445" s="2"/>
      <c r="B445" s="41">
        <v>1566</v>
      </c>
      <c r="C445" s="3"/>
      <c r="D445" s="3"/>
      <c r="E445" s="5"/>
      <c r="F445" s="3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2"/>
      <c r="R445" s="2"/>
      <c r="S445" s="2"/>
      <c r="T445" s="2"/>
      <c r="U445" s="2"/>
    </row>
    <row r="446" spans="1:21" ht="12.75" hidden="1" customHeight="1" x14ac:dyDescent="0.2">
      <c r="A446" s="2"/>
      <c r="B446" s="41">
        <v>1567</v>
      </c>
      <c r="C446" s="3"/>
      <c r="D446" s="3"/>
      <c r="E446" s="5"/>
      <c r="F446" s="3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2"/>
      <c r="R446" s="2"/>
      <c r="S446" s="2"/>
      <c r="T446" s="2"/>
      <c r="U446" s="2"/>
    </row>
    <row r="447" spans="1:21" ht="12.75" hidden="1" customHeight="1" x14ac:dyDescent="0.2">
      <c r="A447" s="2"/>
      <c r="B447" s="41">
        <v>1568</v>
      </c>
      <c r="C447" s="3"/>
      <c r="D447" s="3"/>
      <c r="E447" s="5"/>
      <c r="F447" s="3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2"/>
      <c r="R447" s="2"/>
      <c r="S447" s="2"/>
      <c r="T447" s="2"/>
      <c r="U447" s="2"/>
    </row>
    <row r="448" spans="1:21" ht="12.75" hidden="1" customHeight="1" x14ac:dyDescent="0.2">
      <c r="A448" s="2"/>
      <c r="B448" s="41">
        <v>1569</v>
      </c>
      <c r="C448" s="3"/>
      <c r="D448" s="3"/>
      <c r="E448" s="5"/>
      <c r="F448" s="3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2"/>
      <c r="R448" s="2"/>
      <c r="S448" s="2"/>
      <c r="T448" s="2"/>
      <c r="U448" s="2"/>
    </row>
    <row r="449" spans="1:21" ht="12.75" hidden="1" customHeight="1" x14ac:dyDescent="0.2">
      <c r="A449" s="2"/>
      <c r="B449" s="41">
        <v>1580</v>
      </c>
      <c r="C449" s="3"/>
      <c r="D449" s="3"/>
      <c r="E449" s="5"/>
      <c r="F449" s="3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2"/>
      <c r="R449" s="2"/>
      <c r="S449" s="2"/>
      <c r="T449" s="2"/>
      <c r="U449" s="2"/>
    </row>
    <row r="450" spans="1:21" ht="12.75" hidden="1" customHeight="1" x14ac:dyDescent="0.2">
      <c r="A450" s="2"/>
      <c r="B450" s="41">
        <v>1581</v>
      </c>
      <c r="C450" s="3"/>
      <c r="D450" s="3"/>
      <c r="E450" s="5"/>
      <c r="F450" s="3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2"/>
      <c r="R450" s="2"/>
      <c r="S450" s="2"/>
      <c r="T450" s="2"/>
      <c r="U450" s="2"/>
    </row>
    <row r="451" spans="1:21" ht="12.75" hidden="1" customHeight="1" x14ac:dyDescent="0.2">
      <c r="A451" s="2"/>
      <c r="B451" s="41">
        <v>1582</v>
      </c>
      <c r="C451" s="3"/>
      <c r="D451" s="3"/>
      <c r="E451" s="5"/>
      <c r="F451" s="3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2"/>
      <c r="R451" s="2"/>
      <c r="S451" s="2"/>
      <c r="T451" s="2"/>
      <c r="U451" s="2"/>
    </row>
    <row r="452" spans="1:21" ht="12.75" hidden="1" customHeight="1" x14ac:dyDescent="0.2">
      <c r="A452" s="2"/>
      <c r="B452" s="41">
        <v>1583</v>
      </c>
      <c r="C452" s="3"/>
      <c r="D452" s="3"/>
      <c r="E452" s="5"/>
      <c r="F452" s="3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2"/>
      <c r="R452" s="2"/>
      <c r="S452" s="2"/>
      <c r="T452" s="2"/>
      <c r="U452" s="2"/>
    </row>
    <row r="453" spans="1:21" ht="12.75" hidden="1" customHeight="1" x14ac:dyDescent="0.2">
      <c r="A453" s="2"/>
      <c r="B453" s="41">
        <v>1584</v>
      </c>
      <c r="C453" s="3"/>
      <c r="D453" s="3"/>
      <c r="E453" s="5"/>
      <c r="F453" s="3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2"/>
      <c r="R453" s="2"/>
      <c r="S453" s="2"/>
      <c r="T453" s="2"/>
      <c r="U453" s="2"/>
    </row>
    <row r="454" spans="1:21" ht="12.75" hidden="1" customHeight="1" x14ac:dyDescent="0.2">
      <c r="A454" s="2"/>
      <c r="B454" s="41">
        <v>1585</v>
      </c>
      <c r="C454" s="3"/>
      <c r="D454" s="3"/>
      <c r="E454" s="5"/>
      <c r="F454" s="3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2"/>
      <c r="R454" s="2"/>
      <c r="S454" s="2"/>
      <c r="T454" s="2"/>
      <c r="U454" s="2"/>
    </row>
    <row r="455" spans="1:21" ht="12.75" hidden="1" customHeight="1" x14ac:dyDescent="0.2">
      <c r="A455" s="2"/>
      <c r="B455" s="41">
        <v>1586</v>
      </c>
      <c r="C455" s="3"/>
      <c r="D455" s="3"/>
      <c r="E455" s="5"/>
      <c r="F455" s="3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2"/>
      <c r="R455" s="2"/>
      <c r="S455" s="2"/>
      <c r="T455" s="2"/>
      <c r="U455" s="2"/>
    </row>
    <row r="456" spans="1:21" ht="12.75" hidden="1" customHeight="1" x14ac:dyDescent="0.2">
      <c r="A456" s="2"/>
      <c r="B456" s="41">
        <v>1587</v>
      </c>
      <c r="C456" s="3"/>
      <c r="D456" s="3"/>
      <c r="E456" s="5"/>
      <c r="F456" s="3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2"/>
      <c r="R456" s="2"/>
      <c r="S456" s="2"/>
      <c r="T456" s="2"/>
      <c r="U456" s="2"/>
    </row>
    <row r="457" spans="1:21" ht="12.75" hidden="1" customHeight="1" x14ac:dyDescent="0.2">
      <c r="A457" s="2"/>
      <c r="B457" s="41">
        <v>1588</v>
      </c>
      <c r="C457" s="3"/>
      <c r="D457" s="3"/>
      <c r="E457" s="5"/>
      <c r="F457" s="3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2"/>
      <c r="R457" s="2"/>
      <c r="S457" s="2"/>
      <c r="T457" s="2"/>
      <c r="U457" s="2"/>
    </row>
    <row r="458" spans="1:21" ht="12.75" hidden="1" customHeight="1" x14ac:dyDescent="0.2">
      <c r="A458" s="2"/>
      <c r="B458" s="41">
        <v>1589</v>
      </c>
      <c r="C458" s="3"/>
      <c r="D458" s="3"/>
      <c r="E458" s="5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2"/>
      <c r="R458" s="2"/>
      <c r="S458" s="2"/>
      <c r="T458" s="2"/>
      <c r="U458" s="2"/>
    </row>
    <row r="459" spans="1:21" ht="12.75" hidden="1" customHeight="1" x14ac:dyDescent="0.2">
      <c r="A459" s="2"/>
      <c r="B459" s="41">
        <v>1590</v>
      </c>
      <c r="C459" s="3"/>
      <c r="D459" s="3"/>
      <c r="E459" s="5"/>
      <c r="F459" s="3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2"/>
      <c r="R459" s="2"/>
      <c r="S459" s="2"/>
      <c r="T459" s="2"/>
      <c r="U459" s="2"/>
    </row>
    <row r="460" spans="1:21" ht="12.75" hidden="1" customHeight="1" x14ac:dyDescent="0.2">
      <c r="A460" s="2"/>
      <c r="B460" s="41">
        <v>1595</v>
      </c>
      <c r="C460" s="3"/>
      <c r="D460" s="3"/>
      <c r="E460" s="5"/>
      <c r="F460" s="3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2"/>
      <c r="R460" s="2"/>
      <c r="S460" s="2"/>
      <c r="T460" s="2"/>
      <c r="U460" s="2"/>
    </row>
    <row r="461" spans="1:21" ht="12.75" hidden="1" customHeight="1" x14ac:dyDescent="0.2">
      <c r="A461" s="2"/>
      <c r="B461" s="41">
        <v>1596</v>
      </c>
      <c r="C461" s="3"/>
      <c r="D461" s="3"/>
      <c r="E461" s="5"/>
      <c r="F461" s="3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2"/>
      <c r="R461" s="2"/>
      <c r="S461" s="2"/>
      <c r="T461" s="2"/>
      <c r="U461" s="2"/>
    </row>
    <row r="462" spans="1:21" ht="12.75" hidden="1" customHeight="1" x14ac:dyDescent="0.2">
      <c r="A462" s="2"/>
      <c r="B462" s="41">
        <v>1597</v>
      </c>
      <c r="C462" s="3"/>
      <c r="D462" s="3"/>
      <c r="E462" s="5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2"/>
      <c r="R462" s="2"/>
      <c r="S462" s="2"/>
      <c r="T462" s="2"/>
      <c r="U462" s="2"/>
    </row>
    <row r="463" spans="1:21" ht="12.75" hidden="1" customHeight="1" x14ac:dyDescent="0.2">
      <c r="A463" s="2"/>
      <c r="B463" s="41">
        <v>1598</v>
      </c>
      <c r="C463" s="3"/>
      <c r="D463" s="3"/>
      <c r="E463" s="5"/>
      <c r="F463" s="3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2"/>
      <c r="R463" s="2"/>
      <c r="S463" s="2"/>
      <c r="T463" s="2"/>
      <c r="U463" s="2"/>
    </row>
    <row r="464" spans="1:21" ht="12.75" hidden="1" customHeight="1" x14ac:dyDescent="0.2">
      <c r="A464" s="2"/>
      <c r="B464" s="41">
        <v>1599</v>
      </c>
      <c r="C464" s="3"/>
      <c r="D464" s="3"/>
      <c r="E464" s="5"/>
      <c r="F464" s="3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2"/>
      <c r="R464" s="2"/>
      <c r="S464" s="2"/>
      <c r="T464" s="2"/>
      <c r="U464" s="2"/>
    </row>
    <row r="465" spans="1:21" ht="12.75" hidden="1" customHeight="1" x14ac:dyDescent="0.2">
      <c r="A465" s="2"/>
      <c r="B465" s="41">
        <v>1600</v>
      </c>
      <c r="C465" s="3"/>
      <c r="D465" s="3"/>
      <c r="E465" s="5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2"/>
      <c r="R465" s="2"/>
      <c r="S465" s="2"/>
      <c r="T465" s="2"/>
      <c r="U465" s="2"/>
    </row>
    <row r="466" spans="1:21" ht="12.75" hidden="1" customHeight="1" x14ac:dyDescent="0.2">
      <c r="A466" s="2"/>
      <c r="B466" s="41">
        <v>1601</v>
      </c>
      <c r="C466" s="3"/>
      <c r="D466" s="3"/>
      <c r="E466" s="5"/>
      <c r="F466" s="3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2"/>
      <c r="R466" s="2"/>
      <c r="S466" s="2"/>
      <c r="T466" s="2"/>
      <c r="U466" s="2"/>
    </row>
    <row r="467" spans="1:21" ht="12.75" hidden="1" customHeight="1" x14ac:dyDescent="0.2">
      <c r="A467" s="2"/>
      <c r="B467" s="41">
        <v>1602</v>
      </c>
      <c r="C467" s="3"/>
      <c r="D467" s="3"/>
      <c r="E467" s="5"/>
      <c r="F467" s="3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2"/>
      <c r="R467" s="2"/>
      <c r="S467" s="2"/>
      <c r="T467" s="2"/>
      <c r="U467" s="2"/>
    </row>
    <row r="468" spans="1:21" ht="12.75" hidden="1" customHeight="1" x14ac:dyDescent="0.2">
      <c r="A468" s="2"/>
      <c r="B468" s="41">
        <v>1603</v>
      </c>
      <c r="C468" s="3"/>
      <c r="D468" s="3"/>
      <c r="E468" s="5"/>
      <c r="F468" s="3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2"/>
      <c r="R468" s="2"/>
      <c r="S468" s="2"/>
      <c r="T468" s="2"/>
      <c r="U468" s="2"/>
    </row>
    <row r="469" spans="1:21" ht="12.75" hidden="1" customHeight="1" x14ac:dyDescent="0.2">
      <c r="A469" s="2"/>
      <c r="B469" s="41">
        <v>1604</v>
      </c>
      <c r="C469" s="3"/>
      <c r="D469" s="3"/>
      <c r="E469" s="5"/>
      <c r="F469" s="3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2"/>
      <c r="R469" s="2"/>
      <c r="S469" s="2"/>
      <c r="T469" s="2"/>
      <c r="U469" s="2"/>
    </row>
    <row r="470" spans="1:21" ht="12.75" hidden="1" customHeight="1" x14ac:dyDescent="0.2">
      <c r="A470" s="2"/>
      <c r="B470" s="41">
        <v>1605</v>
      </c>
      <c r="C470" s="3"/>
      <c r="D470" s="3"/>
      <c r="E470" s="5"/>
      <c r="F470" s="3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2"/>
      <c r="R470" s="2"/>
      <c r="S470" s="2"/>
      <c r="T470" s="2"/>
      <c r="U470" s="2"/>
    </row>
    <row r="471" spans="1:21" ht="12.75" hidden="1" customHeight="1" x14ac:dyDescent="0.2">
      <c r="A471" s="2"/>
      <c r="B471" s="41">
        <v>1606</v>
      </c>
      <c r="C471" s="3"/>
      <c r="D471" s="3"/>
      <c r="E471" s="5"/>
      <c r="F471" s="3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2"/>
      <c r="R471" s="2"/>
      <c r="S471" s="2"/>
      <c r="T471" s="2"/>
      <c r="U471" s="2"/>
    </row>
    <row r="472" spans="1:21" ht="12.75" hidden="1" customHeight="1" x14ac:dyDescent="0.2">
      <c r="A472" s="2"/>
      <c r="B472" s="41">
        <v>1607</v>
      </c>
      <c r="C472" s="3"/>
      <c r="D472" s="3"/>
      <c r="E472" s="5"/>
      <c r="F472" s="3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2"/>
      <c r="R472" s="2"/>
      <c r="S472" s="2"/>
      <c r="T472" s="2"/>
      <c r="U472" s="2"/>
    </row>
    <row r="473" spans="1:21" ht="12.75" hidden="1" customHeight="1" x14ac:dyDescent="0.2">
      <c r="A473" s="2"/>
      <c r="B473" s="41">
        <v>1611</v>
      </c>
      <c r="C473" s="3"/>
      <c r="D473" s="3"/>
      <c r="E473" s="5"/>
      <c r="F473" s="3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2"/>
      <c r="R473" s="2"/>
      <c r="S473" s="2"/>
      <c r="T473" s="2"/>
      <c r="U473" s="2"/>
    </row>
    <row r="474" spans="1:21" ht="12.75" hidden="1" customHeight="1" x14ac:dyDescent="0.2">
      <c r="A474" s="2"/>
      <c r="B474" s="41">
        <v>1612</v>
      </c>
      <c r="C474" s="3"/>
      <c r="D474" s="3"/>
      <c r="E474" s="5"/>
      <c r="F474" s="3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2"/>
      <c r="R474" s="2"/>
      <c r="S474" s="2"/>
      <c r="T474" s="2"/>
      <c r="U474" s="2"/>
    </row>
    <row r="475" spans="1:21" ht="12.75" hidden="1" customHeight="1" x14ac:dyDescent="0.2">
      <c r="A475" s="2"/>
      <c r="B475" s="41">
        <v>1613</v>
      </c>
      <c r="C475" s="3"/>
      <c r="D475" s="3"/>
      <c r="E475" s="5"/>
      <c r="F475" s="3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2"/>
      <c r="R475" s="2"/>
      <c r="S475" s="2"/>
      <c r="T475" s="2"/>
      <c r="U475" s="2"/>
    </row>
    <row r="476" spans="1:21" ht="12.75" hidden="1" customHeight="1" x14ac:dyDescent="0.2">
      <c r="A476" s="2"/>
      <c r="B476" s="41">
        <v>1614</v>
      </c>
      <c r="C476" s="3"/>
      <c r="D476" s="3"/>
      <c r="E476" s="5"/>
      <c r="F476" s="3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2"/>
      <c r="R476" s="2"/>
      <c r="S476" s="2"/>
      <c r="T476" s="2"/>
      <c r="U476" s="2"/>
    </row>
    <row r="477" spans="1:21" ht="12.75" hidden="1" customHeight="1" x14ac:dyDescent="0.2">
      <c r="A477" s="2"/>
      <c r="B477" s="41">
        <v>1615</v>
      </c>
      <c r="C477" s="3"/>
      <c r="D477" s="3"/>
      <c r="E477" s="5"/>
      <c r="F477" s="3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2"/>
      <c r="R477" s="2"/>
      <c r="S477" s="2"/>
      <c r="T477" s="2"/>
      <c r="U477" s="2"/>
    </row>
    <row r="478" spans="1:21" ht="12.75" hidden="1" customHeight="1" x14ac:dyDescent="0.2">
      <c r="A478" s="2"/>
      <c r="B478" s="41">
        <v>1616</v>
      </c>
      <c r="C478" s="3"/>
      <c r="D478" s="3"/>
      <c r="E478" s="5"/>
      <c r="F478" s="3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2"/>
      <c r="R478" s="2"/>
      <c r="S478" s="2"/>
      <c r="T478" s="2"/>
      <c r="U478" s="2"/>
    </row>
    <row r="479" spans="1:21" ht="12.75" hidden="1" customHeight="1" x14ac:dyDescent="0.2">
      <c r="A479" s="2"/>
      <c r="B479" s="41">
        <v>1618</v>
      </c>
      <c r="C479" s="3"/>
      <c r="D479" s="3"/>
      <c r="E479" s="5"/>
      <c r="F479" s="3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2"/>
      <c r="R479" s="2"/>
      <c r="S479" s="2"/>
      <c r="T479" s="2"/>
      <c r="U479" s="2"/>
    </row>
    <row r="480" spans="1:21" ht="12.75" hidden="1" customHeight="1" x14ac:dyDescent="0.2">
      <c r="A480" s="2"/>
      <c r="B480" s="41">
        <v>1619</v>
      </c>
      <c r="C480" s="3"/>
      <c r="D480" s="3"/>
      <c r="E480" s="5"/>
      <c r="F480" s="3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2"/>
      <c r="R480" s="2"/>
      <c r="S480" s="2"/>
      <c r="T480" s="2"/>
      <c r="U480" s="2"/>
    </row>
    <row r="481" spans="1:21" ht="12.75" hidden="1" customHeight="1" x14ac:dyDescent="0.2">
      <c r="A481" s="2"/>
      <c r="B481" s="41">
        <v>1621</v>
      </c>
      <c r="C481" s="3"/>
      <c r="D481" s="3"/>
      <c r="E481" s="5"/>
      <c r="F481" s="3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2"/>
      <c r="R481" s="2"/>
      <c r="S481" s="2"/>
      <c r="T481" s="2"/>
      <c r="U481" s="2"/>
    </row>
    <row r="482" spans="1:21" ht="12.75" hidden="1" customHeight="1" x14ac:dyDescent="0.2">
      <c r="A482" s="2"/>
      <c r="B482" s="41">
        <v>1623</v>
      </c>
      <c r="C482" s="3"/>
      <c r="D482" s="3"/>
      <c r="E482" s="5"/>
      <c r="F482" s="3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2"/>
      <c r="R482" s="2"/>
      <c r="S482" s="2"/>
      <c r="T482" s="2"/>
      <c r="U482" s="2"/>
    </row>
    <row r="483" spans="1:21" ht="12.75" hidden="1" customHeight="1" x14ac:dyDescent="0.2">
      <c r="A483" s="2"/>
      <c r="B483" s="41">
        <v>1624</v>
      </c>
      <c r="C483" s="3"/>
      <c r="D483" s="3"/>
      <c r="E483" s="5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2"/>
      <c r="R483" s="2"/>
      <c r="S483" s="2"/>
      <c r="T483" s="2"/>
      <c r="U483" s="2"/>
    </row>
    <row r="484" spans="1:21" ht="12.75" hidden="1" customHeight="1" x14ac:dyDescent="0.2">
      <c r="A484" s="2"/>
      <c r="B484" s="41">
        <v>1857</v>
      </c>
      <c r="C484" s="3"/>
      <c r="D484" s="3"/>
      <c r="E484" s="5"/>
      <c r="F484" s="3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2"/>
      <c r="R484" s="2"/>
      <c r="S484" s="2"/>
      <c r="T484" s="2"/>
      <c r="U484" s="2"/>
    </row>
    <row r="485" spans="1:21" ht="12.75" hidden="1" customHeight="1" x14ac:dyDescent="0.2">
      <c r="A485" s="2"/>
      <c r="B485" s="41">
        <v>2001</v>
      </c>
      <c r="C485" s="3"/>
      <c r="D485" s="3"/>
      <c r="E485" s="5"/>
      <c r="F485" s="3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2"/>
      <c r="R485" s="2"/>
      <c r="S485" s="2"/>
      <c r="T485" s="2"/>
      <c r="U485" s="2"/>
    </row>
    <row r="486" spans="1:21" ht="12.75" hidden="1" customHeight="1" x14ac:dyDescent="0.2">
      <c r="A486" s="2"/>
      <c r="B486" s="41">
        <v>2011</v>
      </c>
      <c r="C486" s="3"/>
      <c r="D486" s="3"/>
      <c r="E486" s="5"/>
      <c r="F486" s="3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2"/>
      <c r="R486" s="2"/>
      <c r="S486" s="2"/>
      <c r="T486" s="2"/>
      <c r="U486" s="2"/>
    </row>
    <row r="487" spans="1:21" ht="12.75" hidden="1" customHeight="1" x14ac:dyDescent="0.2">
      <c r="A487" s="2"/>
      <c r="B487" s="41">
        <v>4000</v>
      </c>
      <c r="C487" s="3"/>
      <c r="D487" s="3"/>
      <c r="E487" s="5"/>
      <c r="F487" s="3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2"/>
      <c r="R487" s="2"/>
      <c r="S487" s="2"/>
      <c r="T487" s="2"/>
      <c r="U487" s="2"/>
    </row>
    <row r="488" spans="1:21" ht="12.75" hidden="1" customHeight="1" x14ac:dyDescent="0.2">
      <c r="A488" s="2"/>
      <c r="B488" s="41">
        <v>4001</v>
      </c>
      <c r="C488" s="3"/>
      <c r="D488" s="3"/>
      <c r="E488" s="5"/>
      <c r="F488" s="3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2"/>
      <c r="R488" s="2"/>
      <c r="S488" s="2"/>
      <c r="T488" s="2"/>
      <c r="U488" s="2"/>
    </row>
    <row r="489" spans="1:21" ht="12.75" hidden="1" customHeight="1" x14ac:dyDescent="0.2">
      <c r="A489" s="2"/>
      <c r="B489" s="41">
        <v>4002</v>
      </c>
      <c r="C489" s="3"/>
      <c r="D489" s="3"/>
      <c r="E489" s="5"/>
      <c r="F489" s="3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2"/>
      <c r="R489" s="2"/>
      <c r="S489" s="2"/>
      <c r="T489" s="2"/>
      <c r="U489" s="2"/>
    </row>
    <row r="490" spans="1:21" ht="12.75" hidden="1" customHeight="1" x14ac:dyDescent="0.2">
      <c r="A490" s="2"/>
      <c r="B490" s="41">
        <v>4003</v>
      </c>
      <c r="C490" s="3"/>
      <c r="D490" s="3"/>
      <c r="E490" s="5"/>
      <c r="F490" s="3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2"/>
      <c r="R490" s="2"/>
      <c r="S490" s="2"/>
      <c r="T490" s="2"/>
      <c r="U490" s="2"/>
    </row>
    <row r="491" spans="1:21" ht="12.75" hidden="1" customHeight="1" x14ac:dyDescent="0.2">
      <c r="A491" s="2"/>
      <c r="B491" s="41">
        <v>4004</v>
      </c>
      <c r="C491" s="3"/>
      <c r="D491" s="3"/>
      <c r="E491" s="5"/>
      <c r="F491" s="3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2"/>
      <c r="R491" s="2"/>
      <c r="S491" s="2"/>
      <c r="T491" s="2"/>
      <c r="U491" s="2"/>
    </row>
    <row r="492" spans="1:21" ht="12.75" hidden="1" customHeight="1" x14ac:dyDescent="0.2">
      <c r="A492" s="2"/>
      <c r="B492" s="41">
        <v>4005</v>
      </c>
      <c r="C492" s="3"/>
      <c r="D492" s="3"/>
      <c r="E492" s="5"/>
      <c r="F492" s="3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2"/>
      <c r="R492" s="2"/>
      <c r="S492" s="2"/>
      <c r="T492" s="2"/>
      <c r="U492" s="2"/>
    </row>
    <row r="493" spans="1:21" ht="12.75" hidden="1" customHeight="1" x14ac:dyDescent="0.2">
      <c r="A493" s="2"/>
      <c r="B493" s="41">
        <v>4006</v>
      </c>
      <c r="C493" s="3"/>
      <c r="D493" s="3"/>
      <c r="E493" s="5"/>
      <c r="F493" s="3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2"/>
      <c r="R493" s="2"/>
      <c r="S493" s="2"/>
      <c r="T493" s="2"/>
      <c r="U493" s="2"/>
    </row>
    <row r="494" spans="1:21" ht="12.75" hidden="1" customHeight="1" x14ac:dyDescent="0.2">
      <c r="A494" s="2"/>
      <c r="B494" s="41">
        <v>4007</v>
      </c>
      <c r="C494" s="3"/>
      <c r="D494" s="3"/>
      <c r="E494" s="5"/>
      <c r="F494" s="3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2"/>
      <c r="R494" s="2"/>
      <c r="S494" s="2"/>
      <c r="T494" s="2"/>
      <c r="U494" s="2"/>
    </row>
    <row r="495" spans="1:21" ht="12.75" hidden="1" customHeight="1" x14ac:dyDescent="0.2">
      <c r="A495" s="2"/>
      <c r="B495" s="41">
        <v>4008</v>
      </c>
      <c r="C495" s="3"/>
      <c r="D495" s="3"/>
      <c r="E495" s="5"/>
      <c r="F495" s="3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2"/>
      <c r="R495" s="2"/>
      <c r="S495" s="2"/>
      <c r="T495" s="2"/>
      <c r="U495" s="2"/>
    </row>
    <row r="496" spans="1:21" ht="12.75" hidden="1" customHeight="1" x14ac:dyDescent="0.2">
      <c r="A496" s="2"/>
      <c r="B496" s="41">
        <v>4009</v>
      </c>
      <c r="C496" s="3"/>
      <c r="D496" s="3"/>
      <c r="E496" s="5"/>
      <c r="F496" s="3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2"/>
      <c r="R496" s="2"/>
      <c r="S496" s="2"/>
      <c r="T496" s="2"/>
      <c r="U496" s="2"/>
    </row>
    <row r="497" spans="1:21" ht="12.75" hidden="1" customHeight="1" x14ac:dyDescent="0.2">
      <c r="A497" s="2"/>
      <c r="B497" s="41">
        <v>4010</v>
      </c>
      <c r="C497" s="3"/>
      <c r="D497" s="3"/>
      <c r="E497" s="5"/>
      <c r="F497" s="3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2"/>
      <c r="R497" s="2"/>
      <c r="S497" s="2"/>
      <c r="T497" s="2"/>
      <c r="U497" s="2"/>
    </row>
    <row r="498" spans="1:21" ht="12.75" hidden="1" customHeight="1" x14ac:dyDescent="0.2">
      <c r="A498" s="2"/>
      <c r="B498" s="41">
        <v>4011</v>
      </c>
      <c r="C498" s="3"/>
      <c r="D498" s="3"/>
      <c r="E498" s="5"/>
      <c r="F498" s="3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2"/>
      <c r="R498" s="2"/>
      <c r="S498" s="2"/>
      <c r="T498" s="2"/>
      <c r="U498" s="2"/>
    </row>
    <row r="499" spans="1:21" ht="12.75" hidden="1" customHeight="1" x14ac:dyDescent="0.2">
      <c r="A499" s="2"/>
      <c r="B499" s="41">
        <v>4012</v>
      </c>
      <c r="C499" s="3"/>
      <c r="D499" s="3"/>
      <c r="E499" s="5"/>
      <c r="F499" s="3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2"/>
      <c r="R499" s="2"/>
      <c r="S499" s="2"/>
      <c r="T499" s="2"/>
      <c r="U499" s="2"/>
    </row>
    <row r="500" spans="1:21" ht="12.75" hidden="1" customHeight="1" x14ac:dyDescent="0.2">
      <c r="A500" s="2"/>
      <c r="B500" s="41">
        <v>4013</v>
      </c>
      <c r="C500" s="3"/>
      <c r="D500" s="3"/>
      <c r="E500" s="5"/>
      <c r="F500" s="3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2"/>
      <c r="R500" s="2"/>
      <c r="S500" s="2"/>
      <c r="T500" s="2"/>
      <c r="U500" s="2"/>
    </row>
    <row r="501" spans="1:21" ht="12.75" hidden="1" customHeight="1" x14ac:dyDescent="0.2">
      <c r="A501" s="2"/>
      <c r="B501" s="41">
        <v>4014</v>
      </c>
      <c r="C501" s="3"/>
      <c r="D501" s="3"/>
      <c r="E501" s="5"/>
      <c r="F501" s="3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2"/>
      <c r="R501" s="2"/>
      <c r="S501" s="2"/>
      <c r="T501" s="2"/>
      <c r="U501" s="2"/>
    </row>
    <row r="502" spans="1:21" ht="12.75" hidden="1" customHeight="1" x14ac:dyDescent="0.2">
      <c r="A502" s="2"/>
      <c r="B502" s="41">
        <v>4015</v>
      </c>
      <c r="C502" s="3"/>
      <c r="D502" s="3"/>
      <c r="E502" s="5"/>
      <c r="F502" s="3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2"/>
      <c r="R502" s="2"/>
      <c r="S502" s="2"/>
      <c r="T502" s="2"/>
      <c r="U502" s="2"/>
    </row>
    <row r="503" spans="1:21" ht="12.75" hidden="1" customHeight="1" x14ac:dyDescent="0.2">
      <c r="A503" s="2"/>
      <c r="B503" s="41">
        <v>4016</v>
      </c>
      <c r="C503" s="3"/>
      <c r="D503" s="3"/>
      <c r="E503" s="5"/>
      <c r="F503" s="3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2"/>
      <c r="R503" s="2"/>
      <c r="S503" s="2"/>
      <c r="T503" s="2"/>
      <c r="U503" s="2"/>
    </row>
    <row r="504" spans="1:21" ht="12.75" hidden="1" customHeight="1" x14ac:dyDescent="0.2">
      <c r="A504" s="2"/>
      <c r="B504" s="41">
        <v>4017</v>
      </c>
      <c r="C504" s="3"/>
      <c r="D504" s="3"/>
      <c r="E504" s="5"/>
      <c r="F504" s="3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2"/>
      <c r="R504" s="2"/>
      <c r="S504" s="2"/>
      <c r="T504" s="2"/>
      <c r="U504" s="2"/>
    </row>
    <row r="505" spans="1:21" ht="12.75" hidden="1" customHeight="1" x14ac:dyDescent="0.2">
      <c r="A505" s="2"/>
      <c r="B505" s="41">
        <v>4018</v>
      </c>
      <c r="C505" s="3"/>
      <c r="D505" s="3"/>
      <c r="E505" s="5"/>
      <c r="F505" s="3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2"/>
      <c r="R505" s="2"/>
      <c r="S505" s="2"/>
      <c r="T505" s="2"/>
      <c r="U505" s="2"/>
    </row>
    <row r="506" spans="1:21" ht="12.75" hidden="1" customHeight="1" x14ac:dyDescent="0.2">
      <c r="A506" s="2"/>
      <c r="B506" s="41">
        <v>4019</v>
      </c>
      <c r="C506" s="3"/>
      <c r="D506" s="3"/>
      <c r="E506" s="5"/>
      <c r="F506" s="3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2"/>
      <c r="R506" s="2"/>
      <c r="S506" s="2"/>
      <c r="T506" s="2"/>
      <c r="U506" s="2"/>
    </row>
    <row r="507" spans="1:21" ht="12.75" hidden="1" customHeight="1" x14ac:dyDescent="0.2">
      <c r="A507" s="2"/>
      <c r="B507" s="41">
        <v>4020</v>
      </c>
      <c r="C507" s="3"/>
      <c r="D507" s="3"/>
      <c r="E507" s="5"/>
      <c r="F507" s="3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2"/>
      <c r="R507" s="2"/>
      <c r="S507" s="2"/>
      <c r="T507" s="2"/>
      <c r="U507" s="2"/>
    </row>
    <row r="508" spans="1:21" ht="12.75" hidden="1" customHeight="1" x14ac:dyDescent="0.2">
      <c r="A508" s="2"/>
      <c r="B508" s="41">
        <v>4021</v>
      </c>
      <c r="C508" s="3"/>
      <c r="D508" s="3"/>
      <c r="E508" s="5"/>
      <c r="F508" s="3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2"/>
      <c r="R508" s="2"/>
      <c r="S508" s="2"/>
      <c r="T508" s="2"/>
      <c r="U508" s="2"/>
    </row>
    <row r="509" spans="1:21" ht="12.75" hidden="1" customHeight="1" x14ac:dyDescent="0.2">
      <c r="A509" s="2"/>
      <c r="B509" s="41">
        <v>4022</v>
      </c>
      <c r="C509" s="3"/>
      <c r="D509" s="3"/>
      <c r="E509" s="5"/>
      <c r="F509" s="3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2"/>
      <c r="R509" s="2"/>
      <c r="S509" s="2"/>
      <c r="T509" s="2"/>
      <c r="U509" s="2"/>
    </row>
    <row r="510" spans="1:21" ht="12.75" hidden="1" customHeight="1" x14ac:dyDescent="0.2">
      <c r="A510" s="2"/>
      <c r="B510" s="41">
        <v>4023</v>
      </c>
      <c r="C510" s="3"/>
      <c r="D510" s="3"/>
      <c r="E510" s="5"/>
      <c r="F510" s="3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2"/>
      <c r="R510" s="2"/>
      <c r="S510" s="2"/>
      <c r="T510" s="2"/>
      <c r="U510" s="2"/>
    </row>
    <row r="511" spans="1:21" ht="12.75" hidden="1" customHeight="1" x14ac:dyDescent="0.2">
      <c r="A511" s="2"/>
      <c r="B511" s="41">
        <v>4024</v>
      </c>
      <c r="C511" s="3"/>
      <c r="D511" s="3"/>
      <c r="E511" s="5"/>
      <c r="F511" s="3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2"/>
      <c r="R511" s="2"/>
      <c r="S511" s="2"/>
      <c r="T511" s="2"/>
      <c r="U511" s="2"/>
    </row>
    <row r="512" spans="1:21" ht="12.75" hidden="1" customHeight="1" x14ac:dyDescent="0.2">
      <c r="A512" s="2"/>
      <c r="B512" s="41">
        <v>4025</v>
      </c>
      <c r="C512" s="3"/>
      <c r="D512" s="3"/>
      <c r="E512" s="5"/>
      <c r="F512" s="3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2"/>
      <c r="R512" s="2"/>
      <c r="S512" s="2"/>
      <c r="T512" s="2"/>
      <c r="U512" s="2"/>
    </row>
    <row r="513" spans="1:21" ht="12.75" hidden="1" customHeight="1" x14ac:dyDescent="0.2">
      <c r="A513" s="2"/>
      <c r="B513" s="41">
        <v>4027</v>
      </c>
      <c r="C513" s="3"/>
      <c r="D513" s="3"/>
      <c r="E513" s="5"/>
      <c r="F513" s="3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2"/>
      <c r="R513" s="2"/>
      <c r="S513" s="2"/>
      <c r="T513" s="2"/>
      <c r="U513" s="2"/>
    </row>
    <row r="514" spans="1:21" ht="12.75" hidden="1" customHeight="1" x14ac:dyDescent="0.2">
      <c r="A514" s="2"/>
      <c r="B514" s="41">
        <v>4028</v>
      </c>
      <c r="C514" s="3"/>
      <c r="D514" s="3"/>
      <c r="E514" s="5"/>
      <c r="F514" s="3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2"/>
      <c r="R514" s="2"/>
      <c r="S514" s="2"/>
      <c r="T514" s="2"/>
      <c r="U514" s="2"/>
    </row>
    <row r="515" spans="1:21" ht="12.75" hidden="1" customHeight="1" x14ac:dyDescent="0.2">
      <c r="A515" s="2"/>
      <c r="B515" s="41">
        <v>4029</v>
      </c>
      <c r="C515" s="3"/>
      <c r="D515" s="3"/>
      <c r="E515" s="5"/>
      <c r="F515" s="3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2"/>
      <c r="R515" s="2"/>
      <c r="S515" s="2"/>
      <c r="T515" s="2"/>
      <c r="U515" s="2"/>
    </row>
    <row r="516" spans="1:21" ht="12.75" hidden="1" customHeight="1" x14ac:dyDescent="0.2">
      <c r="A516" s="2"/>
      <c r="B516" s="41">
        <v>4030</v>
      </c>
      <c r="C516" s="3"/>
      <c r="D516" s="3"/>
      <c r="E516" s="5"/>
      <c r="F516" s="3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2"/>
      <c r="R516" s="2"/>
      <c r="S516" s="2"/>
      <c r="T516" s="2"/>
      <c r="U516" s="2"/>
    </row>
    <row r="517" spans="1:21" ht="12.75" hidden="1" customHeight="1" x14ac:dyDescent="0.2">
      <c r="A517" s="2"/>
      <c r="B517" s="41">
        <v>4031</v>
      </c>
      <c r="C517" s="3"/>
      <c r="D517" s="3"/>
      <c r="E517" s="5"/>
      <c r="F517" s="3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2"/>
      <c r="R517" s="2"/>
      <c r="S517" s="2"/>
      <c r="T517" s="2"/>
      <c r="U517" s="2"/>
    </row>
    <row r="518" spans="1:21" ht="12.75" hidden="1" customHeight="1" x14ac:dyDescent="0.2">
      <c r="A518" s="2"/>
      <c r="B518" s="41">
        <v>4032</v>
      </c>
      <c r="C518" s="3"/>
      <c r="D518" s="3"/>
      <c r="E518" s="5"/>
      <c r="F518" s="3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2"/>
      <c r="R518" s="2"/>
      <c r="S518" s="2"/>
      <c r="T518" s="2"/>
      <c r="U518" s="2"/>
    </row>
    <row r="519" spans="1:21" ht="12.75" hidden="1" customHeight="1" x14ac:dyDescent="0.2">
      <c r="A519" s="2"/>
      <c r="B519" s="41">
        <v>4033</v>
      </c>
      <c r="C519" s="3"/>
      <c r="D519" s="3"/>
      <c r="E519" s="5"/>
      <c r="F519" s="3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2"/>
      <c r="R519" s="2"/>
      <c r="S519" s="2"/>
      <c r="T519" s="2"/>
      <c r="U519" s="2"/>
    </row>
    <row r="520" spans="1:21" ht="12.75" hidden="1" customHeight="1" x14ac:dyDescent="0.2">
      <c r="A520" s="2"/>
      <c r="B520" s="41">
        <v>4034</v>
      </c>
      <c r="C520" s="3"/>
      <c r="D520" s="3"/>
      <c r="E520" s="5"/>
      <c r="F520" s="3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2"/>
      <c r="R520" s="2"/>
      <c r="S520" s="2"/>
      <c r="T520" s="2"/>
      <c r="U520" s="2"/>
    </row>
    <row r="521" spans="1:21" ht="12.75" hidden="1" customHeight="1" x14ac:dyDescent="0.2">
      <c r="A521" s="2"/>
      <c r="B521" s="41">
        <v>4035</v>
      </c>
      <c r="C521" s="3"/>
      <c r="D521" s="3"/>
      <c r="E521" s="5"/>
      <c r="F521" s="3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2"/>
      <c r="R521" s="2"/>
      <c r="S521" s="2"/>
      <c r="T521" s="2"/>
      <c r="U521" s="2"/>
    </row>
    <row r="522" spans="1:21" ht="12.75" hidden="1" customHeight="1" x14ac:dyDescent="0.2">
      <c r="A522" s="2"/>
      <c r="B522" s="41">
        <v>4036</v>
      </c>
      <c r="C522" s="3"/>
      <c r="D522" s="3"/>
      <c r="E522" s="5"/>
      <c r="F522" s="3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2"/>
      <c r="R522" s="2"/>
      <c r="S522" s="2"/>
      <c r="T522" s="2"/>
      <c r="U522" s="2"/>
    </row>
    <row r="523" spans="1:21" ht="12.75" hidden="1" customHeight="1" x14ac:dyDescent="0.2">
      <c r="A523" s="2"/>
      <c r="B523" s="41">
        <v>4037</v>
      </c>
      <c r="C523" s="3"/>
      <c r="D523" s="3"/>
      <c r="E523" s="5"/>
      <c r="F523" s="3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2"/>
      <c r="R523" s="2"/>
      <c r="S523" s="2"/>
      <c r="T523" s="2"/>
      <c r="U523" s="2"/>
    </row>
    <row r="524" spans="1:21" ht="12.75" hidden="1" customHeight="1" x14ac:dyDescent="0.2">
      <c r="A524" s="2"/>
      <c r="B524" s="41">
        <v>4038</v>
      </c>
      <c r="C524" s="3"/>
      <c r="D524" s="3"/>
      <c r="E524" s="5"/>
      <c r="F524" s="3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2"/>
      <c r="R524" s="2"/>
      <c r="S524" s="2"/>
      <c r="T524" s="2"/>
      <c r="U524" s="2"/>
    </row>
    <row r="525" spans="1:21" ht="12.75" hidden="1" customHeight="1" x14ac:dyDescent="0.2">
      <c r="A525" s="2"/>
      <c r="B525" s="41">
        <v>4039</v>
      </c>
      <c r="C525" s="3"/>
      <c r="D525" s="3"/>
      <c r="E525" s="5"/>
      <c r="F525" s="3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2"/>
      <c r="R525" s="2"/>
      <c r="S525" s="2"/>
      <c r="T525" s="2"/>
      <c r="U525" s="2"/>
    </row>
    <row r="526" spans="1:21" ht="12.75" hidden="1" customHeight="1" x14ac:dyDescent="0.2">
      <c r="A526" s="2"/>
      <c r="B526" s="41">
        <v>4040</v>
      </c>
      <c r="C526" s="3"/>
      <c r="D526" s="3"/>
      <c r="E526" s="5"/>
      <c r="F526" s="3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2"/>
      <c r="R526" s="2"/>
      <c r="S526" s="2"/>
      <c r="T526" s="2"/>
      <c r="U526" s="2"/>
    </row>
    <row r="527" spans="1:21" ht="12.75" hidden="1" customHeight="1" x14ac:dyDescent="0.2">
      <c r="A527" s="2"/>
      <c r="B527" s="41">
        <v>4041</v>
      </c>
      <c r="C527" s="3"/>
      <c r="D527" s="3"/>
      <c r="E527" s="5"/>
      <c r="F527" s="3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2"/>
      <c r="R527" s="2"/>
      <c r="S527" s="2"/>
      <c r="T527" s="2"/>
      <c r="U527" s="2"/>
    </row>
    <row r="528" spans="1:21" ht="12.75" hidden="1" customHeight="1" x14ac:dyDescent="0.2">
      <c r="A528" s="2"/>
      <c r="B528" s="41">
        <v>4042</v>
      </c>
      <c r="C528" s="3"/>
      <c r="D528" s="3"/>
      <c r="E528" s="5"/>
      <c r="F528" s="3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2"/>
      <c r="R528" s="2"/>
      <c r="S528" s="2"/>
      <c r="T528" s="2"/>
      <c r="U528" s="2"/>
    </row>
    <row r="529" spans="1:21" ht="12.75" hidden="1" customHeight="1" x14ac:dyDescent="0.2">
      <c r="A529" s="2"/>
      <c r="B529" s="41">
        <v>4043</v>
      </c>
      <c r="C529" s="3"/>
      <c r="D529" s="3"/>
      <c r="E529" s="5"/>
      <c r="F529" s="3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2"/>
      <c r="R529" s="2"/>
      <c r="S529" s="2"/>
      <c r="T529" s="2"/>
      <c r="U529" s="2"/>
    </row>
    <row r="530" spans="1:21" ht="12.75" hidden="1" customHeight="1" x14ac:dyDescent="0.2">
      <c r="A530" s="2"/>
      <c r="B530" s="41">
        <v>4044</v>
      </c>
      <c r="C530" s="3"/>
      <c r="D530" s="3"/>
      <c r="E530" s="5"/>
      <c r="F530" s="3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2"/>
      <c r="R530" s="2"/>
      <c r="S530" s="2"/>
      <c r="T530" s="2"/>
      <c r="U530" s="2"/>
    </row>
    <row r="531" spans="1:21" ht="12.75" hidden="1" customHeight="1" x14ac:dyDescent="0.2">
      <c r="A531" s="2"/>
      <c r="B531" s="41">
        <v>4045</v>
      </c>
      <c r="C531" s="3"/>
      <c r="D531" s="3"/>
      <c r="E531" s="5"/>
      <c r="F531" s="3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2"/>
      <c r="R531" s="2"/>
      <c r="S531" s="2"/>
      <c r="T531" s="2"/>
      <c r="U531" s="2"/>
    </row>
    <row r="532" spans="1:21" ht="12.75" hidden="1" customHeight="1" x14ac:dyDescent="0.2">
      <c r="A532" s="2"/>
      <c r="B532" s="41">
        <v>4046</v>
      </c>
      <c r="C532" s="3"/>
      <c r="D532" s="3"/>
      <c r="E532" s="5"/>
      <c r="F532" s="3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2"/>
      <c r="R532" s="2"/>
      <c r="S532" s="2"/>
      <c r="T532" s="2"/>
      <c r="U532" s="2"/>
    </row>
    <row r="533" spans="1:21" ht="12.75" hidden="1" customHeight="1" x14ac:dyDescent="0.2">
      <c r="A533" s="2"/>
      <c r="B533" s="41">
        <v>4047</v>
      </c>
      <c r="C533" s="3"/>
      <c r="D533" s="3"/>
      <c r="E533" s="5"/>
      <c r="F533" s="3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2"/>
      <c r="R533" s="2"/>
      <c r="S533" s="2"/>
      <c r="T533" s="2"/>
      <c r="U533" s="2"/>
    </row>
    <row r="534" spans="1:21" ht="12.75" hidden="1" customHeight="1" x14ac:dyDescent="0.2">
      <c r="A534" s="2"/>
      <c r="B534" s="41">
        <v>4048</v>
      </c>
      <c r="C534" s="3"/>
      <c r="D534" s="3"/>
      <c r="E534" s="5"/>
      <c r="F534" s="3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2"/>
      <c r="R534" s="2"/>
      <c r="S534" s="2"/>
      <c r="T534" s="2"/>
      <c r="U534" s="2"/>
    </row>
    <row r="535" spans="1:21" ht="12.75" hidden="1" customHeight="1" x14ac:dyDescent="0.2">
      <c r="A535" s="2"/>
      <c r="B535" s="41">
        <v>4049</v>
      </c>
      <c r="C535" s="3"/>
      <c r="D535" s="3"/>
      <c r="E535" s="5"/>
      <c r="F535" s="3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2"/>
      <c r="R535" s="2"/>
      <c r="S535" s="2"/>
      <c r="T535" s="2"/>
      <c r="U535" s="2"/>
    </row>
    <row r="536" spans="1:21" ht="12.75" hidden="1" customHeight="1" x14ac:dyDescent="0.2">
      <c r="A536" s="2"/>
      <c r="B536" s="41">
        <v>4050</v>
      </c>
      <c r="C536" s="3"/>
      <c r="D536" s="3"/>
      <c r="E536" s="5"/>
      <c r="F536" s="3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2"/>
      <c r="R536" s="2"/>
      <c r="S536" s="2"/>
      <c r="T536" s="2"/>
      <c r="U536" s="2"/>
    </row>
    <row r="537" spans="1:21" ht="12.75" hidden="1" customHeight="1" x14ac:dyDescent="0.2">
      <c r="A537" s="2"/>
      <c r="B537" s="41">
        <v>4051</v>
      </c>
      <c r="C537" s="3"/>
      <c r="D537" s="3"/>
      <c r="E537" s="5"/>
      <c r="F537" s="3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2"/>
      <c r="R537" s="2"/>
      <c r="S537" s="2"/>
      <c r="T537" s="2"/>
      <c r="U537" s="2"/>
    </row>
    <row r="538" spans="1:21" ht="12.75" hidden="1" customHeight="1" x14ac:dyDescent="0.2">
      <c r="A538" s="2"/>
      <c r="B538" s="41">
        <v>4052</v>
      </c>
      <c r="C538" s="3"/>
      <c r="D538" s="3"/>
      <c r="E538" s="5"/>
      <c r="F538" s="3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2"/>
      <c r="R538" s="2"/>
      <c r="S538" s="2"/>
      <c r="T538" s="2"/>
      <c r="U538" s="2"/>
    </row>
    <row r="539" spans="1:21" ht="12.75" hidden="1" customHeight="1" x14ac:dyDescent="0.2">
      <c r="A539" s="2"/>
      <c r="B539" s="41">
        <v>4053</v>
      </c>
      <c r="C539" s="3"/>
      <c r="D539" s="3"/>
      <c r="E539" s="5"/>
      <c r="F539" s="3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2"/>
      <c r="R539" s="2"/>
      <c r="S539" s="2"/>
      <c r="T539" s="2"/>
      <c r="U539" s="2"/>
    </row>
    <row r="540" spans="1:21" ht="12.75" hidden="1" customHeight="1" x14ac:dyDescent="0.2">
      <c r="A540" s="2"/>
      <c r="B540" s="41">
        <v>4054</v>
      </c>
      <c r="C540" s="3"/>
      <c r="D540" s="3"/>
      <c r="E540" s="5"/>
      <c r="F540" s="3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2"/>
      <c r="R540" s="2"/>
      <c r="S540" s="2"/>
      <c r="T540" s="2"/>
      <c r="U540" s="2"/>
    </row>
    <row r="541" spans="1:21" ht="12.75" hidden="1" customHeight="1" x14ac:dyDescent="0.2">
      <c r="A541" s="2"/>
      <c r="B541" s="41">
        <v>4055</v>
      </c>
      <c r="C541" s="3"/>
      <c r="D541" s="3"/>
      <c r="E541" s="5"/>
      <c r="F541" s="3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2"/>
      <c r="R541" s="2"/>
      <c r="S541" s="2"/>
      <c r="T541" s="2"/>
      <c r="U541" s="2"/>
    </row>
    <row r="542" spans="1:21" ht="12.75" hidden="1" customHeight="1" x14ac:dyDescent="0.2">
      <c r="A542" s="2"/>
      <c r="B542" s="41">
        <v>4056</v>
      </c>
      <c r="C542" s="3"/>
      <c r="D542" s="3"/>
      <c r="E542" s="5"/>
      <c r="F542" s="3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2"/>
      <c r="R542" s="2"/>
      <c r="S542" s="2"/>
      <c r="T542" s="2"/>
      <c r="U542" s="2"/>
    </row>
    <row r="543" spans="1:21" ht="12.75" hidden="1" customHeight="1" x14ac:dyDescent="0.2">
      <c r="A543" s="2"/>
      <c r="B543" s="41">
        <v>4057</v>
      </c>
      <c r="C543" s="3"/>
      <c r="D543" s="3"/>
      <c r="E543" s="5"/>
      <c r="F543" s="3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2"/>
      <c r="R543" s="2"/>
      <c r="S543" s="2"/>
      <c r="T543" s="2"/>
      <c r="U543" s="2"/>
    </row>
    <row r="544" spans="1:21" ht="12.75" hidden="1" customHeight="1" x14ac:dyDescent="0.2">
      <c r="A544" s="2"/>
      <c r="B544" s="41">
        <v>4058</v>
      </c>
      <c r="C544" s="3"/>
      <c r="D544" s="3"/>
      <c r="E544" s="5"/>
      <c r="F544" s="3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2"/>
      <c r="R544" s="2"/>
      <c r="S544" s="2"/>
      <c r="T544" s="2"/>
      <c r="U544" s="2"/>
    </row>
    <row r="545" spans="1:21" ht="12.75" hidden="1" customHeight="1" x14ac:dyDescent="0.2">
      <c r="A545" s="2"/>
      <c r="B545" s="41">
        <v>4059</v>
      </c>
      <c r="C545" s="3"/>
      <c r="D545" s="3"/>
      <c r="E545" s="5"/>
      <c r="F545" s="3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2"/>
      <c r="R545" s="2"/>
      <c r="S545" s="2"/>
      <c r="T545" s="2"/>
      <c r="U545" s="2"/>
    </row>
    <row r="546" spans="1:21" ht="12.75" hidden="1" customHeight="1" x14ac:dyDescent="0.2">
      <c r="A546" s="2"/>
      <c r="B546" s="41">
        <v>4060</v>
      </c>
      <c r="C546" s="3"/>
      <c r="D546" s="3"/>
      <c r="E546" s="5"/>
      <c r="F546" s="3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2"/>
      <c r="R546" s="2"/>
      <c r="S546" s="2"/>
      <c r="T546" s="2"/>
      <c r="U546" s="2"/>
    </row>
    <row r="547" spans="1:21" ht="12.75" hidden="1" customHeight="1" x14ac:dyDescent="0.2">
      <c r="A547" s="2"/>
      <c r="B547" s="41">
        <v>4061</v>
      </c>
      <c r="C547" s="3"/>
      <c r="D547" s="3"/>
      <c r="E547" s="5"/>
      <c r="F547" s="3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2"/>
      <c r="R547" s="2"/>
      <c r="S547" s="2"/>
      <c r="T547" s="2"/>
      <c r="U547" s="2"/>
    </row>
    <row r="548" spans="1:21" ht="12.75" hidden="1" customHeight="1" x14ac:dyDescent="0.2">
      <c r="A548" s="2"/>
      <c r="B548" s="41">
        <v>8000</v>
      </c>
      <c r="C548" s="3"/>
      <c r="D548" s="3"/>
      <c r="E548" s="5"/>
      <c r="F548" s="3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2"/>
      <c r="R548" s="2"/>
      <c r="S548" s="2"/>
      <c r="T548" s="2"/>
      <c r="U548" s="2"/>
    </row>
    <row r="549" spans="1:21" ht="12.75" hidden="1" customHeight="1" x14ac:dyDescent="0.2">
      <c r="A549" s="2"/>
      <c r="B549" s="41">
        <v>8001</v>
      </c>
      <c r="C549" s="3"/>
      <c r="D549" s="3"/>
      <c r="E549" s="5"/>
      <c r="F549" s="3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2"/>
      <c r="R549" s="2"/>
      <c r="S549" s="2"/>
      <c r="T549" s="2"/>
      <c r="U549" s="2"/>
    </row>
    <row r="550" spans="1:21" ht="12.75" hidden="1" customHeight="1" x14ac:dyDescent="0.2">
      <c r="A550" s="2"/>
      <c r="B550" s="41">
        <v>8002</v>
      </c>
      <c r="C550" s="3"/>
      <c r="D550" s="3"/>
      <c r="E550" s="5"/>
      <c r="F550" s="3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2"/>
      <c r="R550" s="2"/>
      <c r="S550" s="2"/>
      <c r="T550" s="2"/>
      <c r="U550" s="2"/>
    </row>
    <row r="551" spans="1:21" ht="12.75" hidden="1" customHeight="1" x14ac:dyDescent="0.2">
      <c r="A551" s="2"/>
      <c r="B551" s="41">
        <v>8003</v>
      </c>
      <c r="C551" s="3"/>
      <c r="D551" s="3"/>
      <c r="E551" s="5"/>
      <c r="F551" s="3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2"/>
      <c r="R551" s="2"/>
      <c r="S551" s="2"/>
      <c r="T551" s="2"/>
      <c r="U551" s="2"/>
    </row>
    <row r="552" spans="1:21" ht="12.75" hidden="1" customHeight="1" x14ac:dyDescent="0.2">
      <c r="A552" s="2"/>
      <c r="B552" s="41">
        <v>8004</v>
      </c>
      <c r="C552" s="3"/>
      <c r="D552" s="3"/>
      <c r="E552" s="5"/>
      <c r="F552" s="3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2"/>
      <c r="R552" s="2"/>
      <c r="S552" s="2"/>
      <c r="T552" s="2"/>
      <c r="U552" s="2"/>
    </row>
    <row r="553" spans="1:21" ht="12.75" hidden="1" customHeight="1" x14ac:dyDescent="0.2">
      <c r="A553" s="2"/>
      <c r="B553" s="41">
        <v>8005</v>
      </c>
      <c r="C553" s="3"/>
      <c r="D553" s="3"/>
      <c r="E553" s="5"/>
      <c r="F553" s="3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2"/>
      <c r="R553" s="2"/>
      <c r="S553" s="2"/>
      <c r="T553" s="2"/>
      <c r="U553" s="2"/>
    </row>
    <row r="554" spans="1:21" ht="12.75" hidden="1" customHeight="1" x14ac:dyDescent="0.2">
      <c r="A554" s="2"/>
      <c r="B554" s="41">
        <v>8006</v>
      </c>
      <c r="C554" s="3"/>
      <c r="D554" s="3"/>
      <c r="E554" s="5"/>
      <c r="F554" s="3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2"/>
      <c r="R554" s="2"/>
      <c r="S554" s="2"/>
      <c r="T554" s="2"/>
      <c r="U554" s="2"/>
    </row>
    <row r="555" spans="1:21" ht="12.75" hidden="1" customHeight="1" x14ac:dyDescent="0.2">
      <c r="A555" s="2"/>
      <c r="B555" s="41">
        <v>8007</v>
      </c>
      <c r="C555" s="3"/>
      <c r="D555" s="3"/>
      <c r="E555" s="5"/>
      <c r="F555" s="3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2"/>
      <c r="R555" s="2"/>
      <c r="S555" s="2"/>
      <c r="T555" s="2"/>
      <c r="U555" s="2"/>
    </row>
    <row r="556" spans="1:21" ht="12.75" hidden="1" customHeight="1" x14ac:dyDescent="0.2">
      <c r="A556" s="2"/>
      <c r="B556" s="41">
        <v>8008</v>
      </c>
      <c r="C556" s="3"/>
      <c r="D556" s="3"/>
      <c r="E556" s="5"/>
      <c r="F556" s="3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2"/>
      <c r="R556" s="2"/>
      <c r="S556" s="2"/>
      <c r="T556" s="2"/>
      <c r="U556" s="2"/>
    </row>
    <row r="557" spans="1:21" ht="12.75" hidden="1" customHeight="1" x14ac:dyDescent="0.2">
      <c r="A557" s="2"/>
      <c r="B557" s="41">
        <v>8009</v>
      </c>
      <c r="C557" s="3"/>
      <c r="D557" s="3"/>
      <c r="E557" s="5"/>
      <c r="F557" s="3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2"/>
      <c r="R557" s="2"/>
      <c r="S557" s="2"/>
      <c r="T557" s="2"/>
      <c r="U557" s="2"/>
    </row>
    <row r="558" spans="1:21" ht="12.75" hidden="1" customHeight="1" x14ac:dyDescent="0.2">
      <c r="A558" s="2"/>
      <c r="B558" s="41">
        <v>8010</v>
      </c>
      <c r="C558" s="3"/>
      <c r="D558" s="3"/>
      <c r="E558" s="5"/>
      <c r="F558" s="3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2"/>
      <c r="R558" s="2"/>
      <c r="S558" s="2"/>
      <c r="T558" s="2"/>
      <c r="U558" s="2"/>
    </row>
    <row r="559" spans="1:21" ht="12.75" hidden="1" customHeight="1" x14ac:dyDescent="0.2">
      <c r="A559" s="2"/>
      <c r="B559" s="41">
        <v>8011</v>
      </c>
      <c r="C559" s="3"/>
      <c r="D559" s="3"/>
      <c r="E559" s="5"/>
      <c r="F559" s="3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2"/>
      <c r="R559" s="2"/>
      <c r="S559" s="2"/>
      <c r="T559" s="2"/>
      <c r="U559" s="2"/>
    </row>
    <row r="560" spans="1:21" ht="12.75" hidden="1" customHeight="1" x14ac:dyDescent="0.2">
      <c r="A560" s="2"/>
      <c r="B560" s="41">
        <v>8012</v>
      </c>
      <c r="C560" s="3"/>
      <c r="D560" s="3"/>
      <c r="E560" s="5"/>
      <c r="F560" s="3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2"/>
      <c r="R560" s="2"/>
      <c r="S560" s="2"/>
      <c r="T560" s="2"/>
      <c r="U560" s="2"/>
    </row>
    <row r="561" spans="1:21" ht="12.75" hidden="1" customHeight="1" x14ac:dyDescent="0.2">
      <c r="A561" s="2"/>
      <c r="B561" s="41">
        <v>8013</v>
      </c>
      <c r="C561" s="3"/>
      <c r="D561" s="3"/>
      <c r="E561" s="5"/>
      <c r="F561" s="3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2"/>
      <c r="R561" s="2"/>
      <c r="S561" s="2"/>
      <c r="T561" s="2"/>
      <c r="U561" s="2"/>
    </row>
    <row r="562" spans="1:21" ht="12.75" hidden="1" customHeight="1" x14ac:dyDescent="0.2">
      <c r="A562" s="2"/>
      <c r="B562" s="41">
        <v>8014</v>
      </c>
      <c r="C562" s="3"/>
      <c r="D562" s="3"/>
      <c r="E562" s="5"/>
      <c r="F562" s="3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2"/>
      <c r="R562" s="2"/>
      <c r="S562" s="2"/>
      <c r="T562" s="2"/>
      <c r="U562" s="2"/>
    </row>
    <row r="563" spans="1:21" ht="12.75" hidden="1" customHeight="1" x14ac:dyDescent="0.2">
      <c r="A563" s="2"/>
      <c r="B563" s="41">
        <v>8015</v>
      </c>
      <c r="C563" s="3"/>
      <c r="D563" s="3"/>
      <c r="E563" s="5"/>
      <c r="F563" s="3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2"/>
      <c r="R563" s="2"/>
      <c r="S563" s="2"/>
      <c r="T563" s="2"/>
      <c r="U563" s="2"/>
    </row>
    <row r="564" spans="1:21" ht="12.75" hidden="1" customHeight="1" x14ac:dyDescent="0.2">
      <c r="A564" s="2"/>
      <c r="B564" s="41">
        <v>8016</v>
      </c>
      <c r="C564" s="3"/>
      <c r="D564" s="3"/>
      <c r="E564" s="5"/>
      <c r="F564" s="3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2"/>
      <c r="R564" s="2"/>
      <c r="S564" s="2"/>
      <c r="T564" s="2"/>
      <c r="U564" s="2"/>
    </row>
    <row r="565" spans="1:21" ht="12.75" hidden="1" customHeight="1" x14ac:dyDescent="0.2">
      <c r="A565" s="2"/>
      <c r="B565" s="41">
        <v>8017</v>
      </c>
      <c r="C565" s="3"/>
      <c r="D565" s="3"/>
      <c r="E565" s="5"/>
      <c r="F565" s="3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2"/>
      <c r="R565" s="2"/>
      <c r="S565" s="2"/>
      <c r="T565" s="2"/>
      <c r="U565" s="2"/>
    </row>
    <row r="566" spans="1:21" ht="12.75" hidden="1" customHeight="1" x14ac:dyDescent="0.2">
      <c r="A566" s="2"/>
      <c r="B566" s="41">
        <v>8018</v>
      </c>
      <c r="C566" s="3"/>
      <c r="D566" s="3"/>
      <c r="E566" s="5"/>
      <c r="F566" s="3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2"/>
      <c r="R566" s="2"/>
      <c r="S566" s="2"/>
      <c r="T566" s="2"/>
      <c r="U566" s="2"/>
    </row>
    <row r="567" spans="1:21" ht="12.75" hidden="1" customHeight="1" x14ac:dyDescent="0.2">
      <c r="A567" s="2"/>
      <c r="B567" s="41">
        <v>8019</v>
      </c>
      <c r="C567" s="3"/>
      <c r="D567" s="3"/>
      <c r="E567" s="5"/>
      <c r="F567" s="3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2"/>
      <c r="R567" s="2"/>
      <c r="S567" s="2"/>
      <c r="T567" s="2"/>
      <c r="U567" s="2"/>
    </row>
    <row r="568" spans="1:21" ht="12.75" hidden="1" customHeight="1" x14ac:dyDescent="0.2">
      <c r="A568" s="2"/>
      <c r="B568" s="41">
        <v>8020</v>
      </c>
      <c r="C568" s="3"/>
      <c r="D568" s="3"/>
      <c r="E568" s="5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2"/>
      <c r="R568" s="2"/>
      <c r="S568" s="2"/>
      <c r="T568" s="2"/>
      <c r="U568" s="2"/>
    </row>
    <row r="569" spans="1:21" ht="12.75" hidden="1" customHeight="1" x14ac:dyDescent="0.2">
      <c r="A569" s="2"/>
      <c r="B569" s="41">
        <v>8021</v>
      </c>
      <c r="C569" s="3"/>
      <c r="D569" s="3"/>
      <c r="E569" s="5"/>
      <c r="F569" s="3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2"/>
      <c r="R569" s="2"/>
      <c r="S569" s="2"/>
      <c r="T569" s="2"/>
      <c r="U569" s="2"/>
    </row>
    <row r="570" spans="1:21" ht="12.75" hidden="1" customHeight="1" x14ac:dyDescent="0.2">
      <c r="A570" s="2"/>
      <c r="B570" s="41">
        <v>8022</v>
      </c>
      <c r="C570" s="3"/>
      <c r="D570" s="3"/>
      <c r="E570" s="5"/>
      <c r="F570" s="3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2"/>
      <c r="R570" s="2"/>
      <c r="S570" s="2"/>
      <c r="T570" s="2"/>
      <c r="U570" s="2"/>
    </row>
    <row r="571" spans="1:21" ht="12.75" hidden="1" customHeight="1" x14ac:dyDescent="0.2">
      <c r="A571" s="2"/>
      <c r="B571" s="41">
        <v>8023</v>
      </c>
      <c r="C571" s="3"/>
      <c r="D571" s="3"/>
      <c r="E571" s="5"/>
      <c r="F571" s="3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2"/>
      <c r="R571" s="2"/>
      <c r="S571" s="2"/>
      <c r="T571" s="2"/>
      <c r="U571" s="2"/>
    </row>
    <row r="572" spans="1:21" ht="12.75" hidden="1" customHeight="1" x14ac:dyDescent="0.2">
      <c r="A572" s="2"/>
      <c r="B572" s="41">
        <v>8024</v>
      </c>
      <c r="C572" s="3"/>
      <c r="D572" s="3"/>
      <c r="E572" s="5"/>
      <c r="F572" s="3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2"/>
      <c r="R572" s="2"/>
      <c r="S572" s="2"/>
      <c r="T572" s="2"/>
      <c r="U572" s="2"/>
    </row>
    <row r="573" spans="1:21" ht="12.75" hidden="1" customHeight="1" x14ac:dyDescent="0.2">
      <c r="A573" s="2"/>
      <c r="B573" s="41">
        <v>8025</v>
      </c>
      <c r="C573" s="3"/>
      <c r="D573" s="3"/>
      <c r="E573" s="5"/>
      <c r="F573" s="3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2"/>
      <c r="R573" s="2"/>
      <c r="S573" s="2"/>
      <c r="T573" s="2"/>
      <c r="U573" s="2"/>
    </row>
    <row r="574" spans="1:21" ht="12.75" hidden="1" customHeight="1" x14ac:dyDescent="0.2">
      <c r="A574" s="2"/>
      <c r="B574" s="41">
        <v>8026</v>
      </c>
      <c r="C574" s="3"/>
      <c r="D574" s="3"/>
      <c r="E574" s="5"/>
      <c r="F574" s="3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2"/>
      <c r="R574" s="2"/>
      <c r="S574" s="2"/>
      <c r="T574" s="2"/>
      <c r="U574" s="2"/>
    </row>
    <row r="575" spans="1:21" ht="12.75" hidden="1" customHeight="1" x14ac:dyDescent="0.2">
      <c r="A575" s="2"/>
      <c r="B575" s="41">
        <v>8027</v>
      </c>
      <c r="C575" s="3"/>
      <c r="D575" s="3"/>
      <c r="E575" s="5"/>
      <c r="F575" s="3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2"/>
      <c r="R575" s="2"/>
      <c r="S575" s="2"/>
      <c r="T575" s="2"/>
      <c r="U575" s="2"/>
    </row>
    <row r="576" spans="1:21" ht="12.75" hidden="1" customHeight="1" x14ac:dyDescent="0.2">
      <c r="A576" s="2"/>
      <c r="B576" s="41">
        <v>8028</v>
      </c>
      <c r="C576" s="3"/>
      <c r="D576" s="3"/>
      <c r="E576" s="5"/>
      <c r="F576" s="3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2"/>
      <c r="R576" s="2"/>
      <c r="S576" s="2"/>
      <c r="T576" s="2"/>
      <c r="U576" s="2"/>
    </row>
    <row r="577" spans="1:21" ht="12.75" hidden="1" customHeight="1" x14ac:dyDescent="0.2">
      <c r="A577" s="2"/>
      <c r="B577" s="41">
        <v>8029</v>
      </c>
      <c r="C577" s="3"/>
      <c r="D577" s="3"/>
      <c r="E577" s="5"/>
      <c r="F577" s="3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2"/>
      <c r="R577" s="2"/>
      <c r="S577" s="2"/>
      <c r="T577" s="2"/>
      <c r="U577" s="2"/>
    </row>
    <row r="578" spans="1:21" ht="12.75" hidden="1" customHeight="1" x14ac:dyDescent="0.2">
      <c r="A578" s="2"/>
      <c r="B578" s="41">
        <v>8030</v>
      </c>
      <c r="C578" s="3"/>
      <c r="D578" s="3"/>
      <c r="E578" s="5"/>
      <c r="F578" s="3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2"/>
      <c r="R578" s="2"/>
      <c r="S578" s="2"/>
      <c r="T578" s="2"/>
      <c r="U578" s="2"/>
    </row>
    <row r="579" spans="1:21" ht="12.75" hidden="1" customHeight="1" x14ac:dyDescent="0.2">
      <c r="A579" s="2"/>
      <c r="B579" s="41">
        <v>8031</v>
      </c>
      <c r="C579" s="3"/>
      <c r="D579" s="3"/>
      <c r="E579" s="5"/>
      <c r="F579" s="3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2"/>
      <c r="R579" s="2"/>
      <c r="S579" s="2"/>
      <c r="T579" s="2"/>
      <c r="U579" s="2"/>
    </row>
    <row r="580" spans="1:21" ht="12.75" hidden="1" customHeight="1" x14ac:dyDescent="0.2">
      <c r="A580" s="2"/>
      <c r="B580" s="41">
        <v>8032</v>
      </c>
      <c r="C580" s="3"/>
      <c r="D580" s="3"/>
      <c r="E580" s="5"/>
      <c r="F580" s="3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2"/>
      <c r="R580" s="2"/>
      <c r="S580" s="2"/>
      <c r="T580" s="2"/>
      <c r="U580" s="2"/>
    </row>
    <row r="581" spans="1:21" ht="12.75" hidden="1" customHeight="1" x14ac:dyDescent="0.2">
      <c r="A581" s="2"/>
      <c r="B581" s="41">
        <v>8033</v>
      </c>
      <c r="C581" s="3"/>
      <c r="D581" s="3"/>
      <c r="E581" s="5"/>
      <c r="F581" s="3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2"/>
      <c r="R581" s="2"/>
      <c r="S581" s="2"/>
      <c r="T581" s="2"/>
      <c r="U581" s="2"/>
    </row>
    <row r="582" spans="1:21" ht="12.75" hidden="1" customHeight="1" x14ac:dyDescent="0.2">
      <c r="A582" s="2"/>
      <c r="B582" s="41">
        <v>8034</v>
      </c>
      <c r="C582" s="3"/>
      <c r="D582" s="3"/>
      <c r="E582" s="5"/>
      <c r="F582" s="3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2"/>
      <c r="R582" s="2"/>
      <c r="S582" s="2"/>
      <c r="T582" s="2"/>
      <c r="U582" s="2"/>
    </row>
    <row r="583" spans="1:21" ht="12.75" hidden="1" customHeight="1" x14ac:dyDescent="0.2">
      <c r="A583" s="2"/>
      <c r="B583" s="41">
        <v>8035</v>
      </c>
      <c r="C583" s="3"/>
      <c r="D583" s="3"/>
      <c r="E583" s="5"/>
      <c r="F583" s="3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2"/>
      <c r="R583" s="2"/>
      <c r="S583" s="2"/>
      <c r="T583" s="2"/>
      <c r="U583" s="2"/>
    </row>
    <row r="584" spans="1:21" ht="12.75" hidden="1" customHeight="1" x14ac:dyDescent="0.2">
      <c r="A584" s="2"/>
      <c r="B584" s="41">
        <v>8036</v>
      </c>
      <c r="C584" s="3"/>
      <c r="D584" s="3"/>
      <c r="E584" s="5"/>
      <c r="F584" s="3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2"/>
      <c r="R584" s="2"/>
      <c r="S584" s="2"/>
      <c r="T584" s="2"/>
      <c r="U584" s="2"/>
    </row>
    <row r="585" spans="1:21" ht="12.75" hidden="1" customHeight="1" x14ac:dyDescent="0.2">
      <c r="A585" s="2"/>
      <c r="B585" s="41">
        <v>8037</v>
      </c>
      <c r="C585" s="3"/>
      <c r="D585" s="3"/>
      <c r="E585" s="5"/>
      <c r="F585" s="3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2"/>
      <c r="R585" s="2"/>
      <c r="S585" s="2"/>
      <c r="T585" s="2"/>
      <c r="U585" s="2"/>
    </row>
    <row r="586" spans="1:21" ht="12.75" hidden="1" customHeight="1" x14ac:dyDescent="0.2">
      <c r="A586" s="2"/>
      <c r="B586" s="41">
        <v>8038</v>
      </c>
      <c r="C586" s="3"/>
      <c r="D586" s="3"/>
      <c r="E586" s="5"/>
      <c r="F586" s="3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2"/>
      <c r="R586" s="2"/>
      <c r="S586" s="2"/>
      <c r="T586" s="2"/>
      <c r="U586" s="2"/>
    </row>
    <row r="587" spans="1:21" ht="12.75" hidden="1" customHeight="1" x14ac:dyDescent="0.2">
      <c r="A587" s="2"/>
      <c r="B587" s="41">
        <v>8039</v>
      </c>
      <c r="C587" s="3"/>
      <c r="D587" s="3"/>
      <c r="E587" s="5"/>
      <c r="F587" s="3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2"/>
      <c r="R587" s="2"/>
      <c r="S587" s="2"/>
      <c r="T587" s="2"/>
      <c r="U587" s="2"/>
    </row>
    <row r="588" spans="1:21" ht="12.75" hidden="1" customHeight="1" x14ac:dyDescent="0.2">
      <c r="A588" s="2"/>
      <c r="B588" s="41">
        <v>8040</v>
      </c>
      <c r="C588" s="3"/>
      <c r="D588" s="3"/>
      <c r="E588" s="5"/>
      <c r="F588" s="3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2"/>
      <c r="R588" s="2"/>
      <c r="S588" s="2"/>
      <c r="T588" s="2"/>
      <c r="U588" s="2"/>
    </row>
    <row r="589" spans="1:21" ht="12.75" hidden="1" customHeight="1" x14ac:dyDescent="0.2">
      <c r="A589" s="2"/>
      <c r="B589" s="41">
        <v>8041</v>
      </c>
      <c r="C589" s="3"/>
      <c r="D589" s="3"/>
      <c r="E589" s="5"/>
      <c r="F589" s="3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2"/>
      <c r="R589" s="2"/>
      <c r="S589" s="2"/>
      <c r="T589" s="2"/>
      <c r="U589" s="2"/>
    </row>
    <row r="590" spans="1:21" ht="12.75" hidden="1" customHeight="1" x14ac:dyDescent="0.2">
      <c r="A590" s="2"/>
      <c r="B590" s="41">
        <v>8042</v>
      </c>
      <c r="C590" s="3"/>
      <c r="D590" s="3"/>
      <c r="E590" s="5"/>
      <c r="F590" s="3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2"/>
      <c r="R590" s="2"/>
      <c r="S590" s="2"/>
      <c r="T590" s="2"/>
      <c r="U590" s="2"/>
    </row>
    <row r="591" spans="1:21" ht="12.75" hidden="1" customHeight="1" x14ac:dyDescent="0.2">
      <c r="A591" s="2"/>
      <c r="B591" s="41">
        <v>8043</v>
      </c>
      <c r="C591" s="3"/>
      <c r="D591" s="3"/>
      <c r="E591" s="5"/>
      <c r="F591" s="3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2"/>
      <c r="R591" s="2"/>
      <c r="S591" s="2"/>
      <c r="T591" s="2"/>
      <c r="U591" s="2"/>
    </row>
    <row r="592" spans="1:21" ht="12.75" hidden="1" customHeight="1" x14ac:dyDescent="0.2">
      <c r="A592" s="2"/>
      <c r="B592" s="41">
        <v>8044</v>
      </c>
      <c r="C592" s="3"/>
      <c r="D592" s="3"/>
      <c r="E592" s="5"/>
      <c r="F592" s="3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2"/>
      <c r="R592" s="2"/>
      <c r="S592" s="2"/>
      <c r="T592" s="2"/>
      <c r="U592" s="2"/>
    </row>
    <row r="593" spans="1:21" ht="12.75" hidden="1" customHeight="1" x14ac:dyDescent="0.2">
      <c r="A593" s="2"/>
      <c r="B593" s="41">
        <v>8045</v>
      </c>
      <c r="C593" s="3"/>
      <c r="D593" s="3"/>
      <c r="E593" s="5"/>
      <c r="F593" s="3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2"/>
      <c r="R593" s="2"/>
      <c r="S593" s="2"/>
      <c r="T593" s="2"/>
      <c r="U593" s="2"/>
    </row>
    <row r="594" spans="1:21" ht="12.75" hidden="1" customHeight="1" x14ac:dyDescent="0.2">
      <c r="A594" s="2"/>
      <c r="B594" s="41">
        <v>8046</v>
      </c>
      <c r="C594" s="3"/>
      <c r="D594" s="3"/>
      <c r="E594" s="5"/>
      <c r="F594" s="3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2"/>
      <c r="R594" s="2"/>
      <c r="S594" s="2"/>
      <c r="T594" s="2"/>
      <c r="U594" s="2"/>
    </row>
    <row r="595" spans="1:21" ht="12.75" hidden="1" customHeight="1" x14ac:dyDescent="0.2">
      <c r="A595" s="2"/>
      <c r="B595" s="41">
        <v>8047</v>
      </c>
      <c r="C595" s="3"/>
      <c r="D595" s="3"/>
      <c r="E595" s="5"/>
      <c r="F595" s="3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2"/>
      <c r="R595" s="2"/>
      <c r="S595" s="2"/>
      <c r="T595" s="2"/>
      <c r="U595" s="2"/>
    </row>
    <row r="596" spans="1:21" ht="12.75" hidden="1" customHeight="1" x14ac:dyDescent="0.2">
      <c r="A596" s="2"/>
      <c r="B596" s="41">
        <v>8048</v>
      </c>
      <c r="C596" s="3"/>
      <c r="D596" s="3"/>
      <c r="E596" s="5"/>
      <c r="F596" s="3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2"/>
      <c r="R596" s="2"/>
      <c r="S596" s="2"/>
      <c r="T596" s="2"/>
      <c r="U596" s="2"/>
    </row>
    <row r="597" spans="1:21" ht="12.75" hidden="1" customHeight="1" x14ac:dyDescent="0.2">
      <c r="A597" s="2"/>
      <c r="B597" s="41">
        <v>8049</v>
      </c>
      <c r="C597" s="3"/>
      <c r="D597" s="3"/>
      <c r="E597" s="5"/>
      <c r="F597" s="3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2"/>
      <c r="R597" s="2"/>
      <c r="S597" s="2"/>
      <c r="T597" s="2"/>
      <c r="U597" s="2"/>
    </row>
    <row r="598" spans="1:21" ht="12.75" hidden="1" customHeight="1" x14ac:dyDescent="0.2">
      <c r="A598" s="2"/>
      <c r="B598" s="41">
        <v>8050</v>
      </c>
      <c r="C598" s="3"/>
      <c r="D598" s="3"/>
      <c r="E598" s="5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2"/>
      <c r="R598" s="2"/>
      <c r="S598" s="2"/>
      <c r="T598" s="2"/>
      <c r="U598" s="2"/>
    </row>
    <row r="599" spans="1:21" ht="12.75" hidden="1" customHeight="1" x14ac:dyDescent="0.2">
      <c r="A599" s="2"/>
      <c r="B599" s="41">
        <v>8052</v>
      </c>
      <c r="C599" s="3"/>
      <c r="D599" s="3"/>
      <c r="E599" s="5"/>
      <c r="F599" s="3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2"/>
      <c r="R599" s="2"/>
      <c r="S599" s="2"/>
      <c r="T599" s="2"/>
      <c r="U599" s="2"/>
    </row>
    <row r="600" spans="1:21" ht="12.75" hidden="1" customHeight="1" x14ac:dyDescent="0.2">
      <c r="A600" s="2"/>
      <c r="B600" s="41">
        <v>8053</v>
      </c>
      <c r="C600" s="3"/>
      <c r="D600" s="3"/>
      <c r="E600" s="5"/>
      <c r="F600" s="3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2"/>
      <c r="R600" s="2"/>
      <c r="S600" s="2"/>
      <c r="T600" s="2"/>
      <c r="U600" s="2"/>
    </row>
    <row r="601" spans="1:21" ht="12.75" hidden="1" customHeight="1" x14ac:dyDescent="0.2">
      <c r="A601" s="2"/>
      <c r="B601" s="41">
        <v>8054</v>
      </c>
      <c r="C601" s="3"/>
      <c r="D601" s="3"/>
      <c r="E601" s="5"/>
      <c r="F601" s="3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2"/>
      <c r="R601" s="2"/>
      <c r="S601" s="2"/>
      <c r="T601" s="2"/>
      <c r="U601" s="2"/>
    </row>
    <row r="602" spans="1:21" ht="12.75" hidden="1" customHeight="1" x14ac:dyDescent="0.2">
      <c r="A602" s="2"/>
      <c r="B602" s="41">
        <v>8055</v>
      </c>
      <c r="C602" s="3"/>
      <c r="D602" s="3"/>
      <c r="E602" s="5"/>
      <c r="F602" s="3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2"/>
      <c r="R602" s="2"/>
      <c r="S602" s="2"/>
      <c r="T602" s="2"/>
      <c r="U602" s="2"/>
    </row>
    <row r="603" spans="1:21" ht="12.75" hidden="1" customHeight="1" x14ac:dyDescent="0.2">
      <c r="A603" s="2"/>
      <c r="B603" s="41">
        <v>8056</v>
      </c>
      <c r="C603" s="3"/>
      <c r="D603" s="3"/>
      <c r="E603" s="5"/>
      <c r="F603" s="3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2"/>
      <c r="R603" s="2"/>
      <c r="S603" s="2"/>
      <c r="T603" s="2"/>
      <c r="U603" s="2"/>
    </row>
    <row r="604" spans="1:21" ht="12.75" hidden="1" customHeight="1" x14ac:dyDescent="0.2">
      <c r="A604" s="2"/>
      <c r="B604" s="41">
        <v>8057</v>
      </c>
      <c r="C604" s="3"/>
      <c r="D604" s="3"/>
      <c r="E604" s="5"/>
      <c r="F604" s="3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2"/>
      <c r="R604" s="2"/>
      <c r="S604" s="2"/>
      <c r="T604" s="2"/>
      <c r="U604" s="2"/>
    </row>
    <row r="605" spans="1:21" ht="12.75" hidden="1" customHeight="1" x14ac:dyDescent="0.2">
      <c r="A605" s="2"/>
      <c r="B605" s="41">
        <v>8058</v>
      </c>
      <c r="C605" s="3"/>
      <c r="D605" s="3"/>
      <c r="E605" s="5"/>
      <c r="F605" s="3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2"/>
      <c r="R605" s="2"/>
      <c r="S605" s="2"/>
      <c r="T605" s="2"/>
      <c r="U605" s="2"/>
    </row>
    <row r="606" spans="1:21" ht="12.75" hidden="1" customHeight="1" x14ac:dyDescent="0.2">
      <c r="A606" s="2"/>
      <c r="B606" s="41">
        <v>8059</v>
      </c>
      <c r="C606" s="3"/>
      <c r="D606" s="3"/>
      <c r="E606" s="5"/>
      <c r="F606" s="3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2"/>
      <c r="R606" s="2"/>
      <c r="S606" s="2"/>
      <c r="T606" s="2"/>
      <c r="U606" s="2"/>
    </row>
    <row r="607" spans="1:21" ht="12.75" hidden="1" customHeight="1" x14ac:dyDescent="0.2">
      <c r="A607" s="2"/>
      <c r="B607" s="41">
        <v>8060</v>
      </c>
      <c r="C607" s="3"/>
      <c r="D607" s="3"/>
      <c r="E607" s="5"/>
      <c r="F607" s="3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2"/>
      <c r="R607" s="2"/>
      <c r="S607" s="2"/>
      <c r="T607" s="2"/>
      <c r="U607" s="2"/>
    </row>
    <row r="608" spans="1:21" ht="12.75" hidden="1" customHeight="1" x14ac:dyDescent="0.2">
      <c r="A608" s="2"/>
      <c r="B608" s="41">
        <v>8061</v>
      </c>
      <c r="C608" s="3"/>
      <c r="D608" s="3"/>
      <c r="E608" s="5"/>
      <c r="F608" s="3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2"/>
      <c r="R608" s="2"/>
      <c r="S608" s="2"/>
      <c r="T608" s="2"/>
      <c r="U608" s="2"/>
    </row>
    <row r="609" spans="1:21" ht="12.75" hidden="1" customHeight="1" x14ac:dyDescent="0.2">
      <c r="A609" s="2"/>
      <c r="B609" s="41">
        <v>8062</v>
      </c>
      <c r="C609" s="3"/>
      <c r="D609" s="3"/>
      <c r="E609" s="5"/>
      <c r="F609" s="3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2"/>
      <c r="R609" s="2"/>
      <c r="S609" s="2"/>
      <c r="T609" s="2"/>
      <c r="U609" s="2"/>
    </row>
    <row r="610" spans="1:21" ht="12.75" hidden="1" customHeight="1" x14ac:dyDescent="0.2">
      <c r="A610" s="2"/>
      <c r="B610" s="41">
        <v>8063</v>
      </c>
      <c r="C610" s="3"/>
      <c r="D610" s="3"/>
      <c r="E610" s="5"/>
      <c r="F610" s="3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2"/>
      <c r="R610" s="2"/>
      <c r="S610" s="2"/>
      <c r="T610" s="2"/>
      <c r="U610" s="2"/>
    </row>
    <row r="611" spans="1:21" ht="12.75" hidden="1" customHeight="1" x14ac:dyDescent="0.2">
      <c r="A611" s="2"/>
      <c r="B611" s="41">
        <v>8064</v>
      </c>
      <c r="C611" s="3"/>
      <c r="D611" s="3"/>
      <c r="E611" s="5"/>
      <c r="F611" s="3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2"/>
      <c r="R611" s="2"/>
      <c r="S611" s="2"/>
      <c r="T611" s="2"/>
      <c r="U611" s="2"/>
    </row>
    <row r="612" spans="1:21" ht="12.75" hidden="1" customHeight="1" x14ac:dyDescent="0.2">
      <c r="A612" s="2"/>
      <c r="B612" s="41">
        <v>8065</v>
      </c>
      <c r="C612" s="3"/>
      <c r="D612" s="3"/>
      <c r="E612" s="5"/>
      <c r="F612" s="3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2"/>
      <c r="R612" s="2"/>
      <c r="S612" s="2"/>
      <c r="T612" s="2"/>
      <c r="U612" s="2"/>
    </row>
    <row r="613" spans="1:21" ht="12.75" hidden="1" customHeight="1" x14ac:dyDescent="0.2">
      <c r="A613" s="2"/>
      <c r="B613" s="41">
        <v>8066</v>
      </c>
      <c r="C613" s="3"/>
      <c r="D613" s="3"/>
      <c r="E613" s="5"/>
      <c r="F613" s="3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2"/>
      <c r="R613" s="2"/>
      <c r="S613" s="2"/>
      <c r="T613" s="2"/>
      <c r="U613" s="2"/>
    </row>
    <row r="614" spans="1:21" ht="12.75" hidden="1" customHeight="1" x14ac:dyDescent="0.2">
      <c r="A614" s="2"/>
      <c r="B614" s="41">
        <v>8067</v>
      </c>
      <c r="C614" s="3"/>
      <c r="D614" s="3"/>
      <c r="E614" s="5"/>
      <c r="F614" s="3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2"/>
      <c r="R614" s="2"/>
      <c r="S614" s="2"/>
      <c r="T614" s="2"/>
      <c r="U614" s="2"/>
    </row>
    <row r="615" spans="1:21" ht="12.75" hidden="1" customHeight="1" x14ac:dyDescent="0.2">
      <c r="A615" s="2"/>
      <c r="B615" s="41">
        <v>8068</v>
      </c>
      <c r="C615" s="3"/>
      <c r="D615" s="3"/>
      <c r="E615" s="5"/>
      <c r="F615" s="3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2"/>
      <c r="R615" s="2"/>
      <c r="S615" s="2"/>
      <c r="T615" s="2"/>
      <c r="U615" s="2"/>
    </row>
    <row r="616" spans="1:21" ht="12.75" hidden="1" customHeight="1" x14ac:dyDescent="0.2">
      <c r="A616" s="2"/>
      <c r="B616" s="41">
        <v>8069</v>
      </c>
      <c r="C616" s="3"/>
      <c r="D616" s="3"/>
      <c r="E616" s="5"/>
      <c r="F616" s="3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2"/>
      <c r="R616" s="2"/>
      <c r="S616" s="2"/>
      <c r="T616" s="2"/>
      <c r="U616" s="2"/>
    </row>
    <row r="617" spans="1:21" ht="12.75" hidden="1" customHeight="1" x14ac:dyDescent="0.2">
      <c r="A617" s="2"/>
      <c r="B617" s="41">
        <v>8070</v>
      </c>
      <c r="C617" s="3"/>
      <c r="D617" s="3"/>
      <c r="E617" s="5"/>
      <c r="F617" s="3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2"/>
      <c r="R617" s="2"/>
      <c r="S617" s="2"/>
      <c r="T617" s="2"/>
      <c r="U617" s="2"/>
    </row>
    <row r="618" spans="1:21" ht="12.75" hidden="1" customHeight="1" x14ac:dyDescent="0.2">
      <c r="A618" s="2"/>
      <c r="B618" s="41">
        <v>8071</v>
      </c>
      <c r="C618" s="3"/>
      <c r="D618" s="3"/>
      <c r="E618" s="5"/>
      <c r="F618" s="3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2"/>
      <c r="R618" s="2"/>
      <c r="S618" s="2"/>
      <c r="T618" s="2"/>
      <c r="U618" s="2"/>
    </row>
    <row r="619" spans="1:21" ht="12.75" hidden="1" customHeight="1" x14ac:dyDescent="0.2">
      <c r="A619" s="2"/>
      <c r="B619" s="41">
        <v>8072</v>
      </c>
      <c r="C619" s="3"/>
      <c r="D619" s="3"/>
      <c r="E619" s="5"/>
      <c r="F619" s="3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2"/>
      <c r="R619" s="2"/>
      <c r="S619" s="2"/>
      <c r="T619" s="2"/>
      <c r="U619" s="2"/>
    </row>
    <row r="620" spans="1:21" ht="12.75" hidden="1" customHeight="1" x14ac:dyDescent="0.2">
      <c r="A620" s="2"/>
      <c r="B620" s="41">
        <v>8073</v>
      </c>
      <c r="C620" s="3"/>
      <c r="D620" s="3"/>
      <c r="E620" s="5"/>
      <c r="F620" s="3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2"/>
      <c r="R620" s="2"/>
      <c r="S620" s="2"/>
      <c r="T620" s="2"/>
      <c r="U620" s="2"/>
    </row>
    <row r="621" spans="1:21" ht="12.75" hidden="1" customHeight="1" x14ac:dyDescent="0.2">
      <c r="A621" s="2"/>
      <c r="B621" s="41">
        <v>8074</v>
      </c>
      <c r="C621" s="3"/>
      <c r="D621" s="3"/>
      <c r="E621" s="5"/>
      <c r="F621" s="3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2"/>
      <c r="R621" s="2"/>
      <c r="S621" s="2"/>
      <c r="T621" s="2"/>
      <c r="U621" s="2"/>
    </row>
    <row r="622" spans="1:21" ht="12.75" hidden="1" customHeight="1" x14ac:dyDescent="0.2">
      <c r="A622" s="2"/>
      <c r="B622" s="41">
        <v>8075</v>
      </c>
      <c r="C622" s="3"/>
      <c r="D622" s="3"/>
      <c r="E622" s="5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2"/>
      <c r="R622" s="2"/>
      <c r="S622" s="2"/>
      <c r="T622" s="2"/>
      <c r="U622" s="2"/>
    </row>
    <row r="623" spans="1:21" ht="12.75" hidden="1" customHeight="1" x14ac:dyDescent="0.2">
      <c r="A623" s="2"/>
      <c r="B623" s="41">
        <v>8076</v>
      </c>
      <c r="C623" s="3"/>
      <c r="D623" s="3"/>
      <c r="E623" s="5"/>
      <c r="F623" s="3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2"/>
      <c r="R623" s="2"/>
      <c r="S623" s="2"/>
      <c r="T623" s="2"/>
      <c r="U623" s="2"/>
    </row>
    <row r="624" spans="1:21" ht="12.75" hidden="1" customHeight="1" x14ac:dyDescent="0.2">
      <c r="A624" s="2"/>
      <c r="B624" s="41">
        <v>8077</v>
      </c>
      <c r="C624" s="3"/>
      <c r="D624" s="3"/>
      <c r="E624" s="5"/>
      <c r="F624" s="3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2"/>
      <c r="R624" s="2"/>
      <c r="S624" s="2"/>
      <c r="T624" s="2"/>
      <c r="U624" s="2"/>
    </row>
    <row r="625" spans="1:21" ht="12.75" hidden="1" customHeight="1" x14ac:dyDescent="0.2">
      <c r="A625" s="2"/>
      <c r="B625" s="41">
        <v>8078</v>
      </c>
      <c r="C625" s="3"/>
      <c r="D625" s="3"/>
      <c r="E625" s="5"/>
      <c r="F625" s="3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2"/>
      <c r="R625" s="2"/>
      <c r="S625" s="2"/>
      <c r="T625" s="2"/>
      <c r="U625" s="2"/>
    </row>
    <row r="626" spans="1:21" ht="12.75" hidden="1" customHeight="1" x14ac:dyDescent="0.2">
      <c r="A626" s="2"/>
      <c r="B626" s="41">
        <v>8079</v>
      </c>
      <c r="C626" s="3"/>
      <c r="D626" s="3"/>
      <c r="E626" s="5"/>
      <c r="F626" s="3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2"/>
      <c r="R626" s="2"/>
      <c r="S626" s="2"/>
      <c r="T626" s="2"/>
      <c r="U626" s="2"/>
    </row>
    <row r="627" spans="1:21" ht="12.75" hidden="1" customHeight="1" x14ac:dyDescent="0.2">
      <c r="A627" s="2"/>
      <c r="B627" s="41">
        <v>8080</v>
      </c>
      <c r="C627" s="3"/>
      <c r="D627" s="3"/>
      <c r="E627" s="5"/>
      <c r="F627" s="3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2"/>
      <c r="R627" s="2"/>
      <c r="S627" s="2"/>
      <c r="T627" s="2"/>
      <c r="U627" s="2"/>
    </row>
    <row r="628" spans="1:21" ht="12.75" hidden="1" customHeight="1" x14ac:dyDescent="0.2">
      <c r="A628" s="2"/>
      <c r="B628" s="41">
        <v>8081</v>
      </c>
      <c r="C628" s="3"/>
      <c r="D628" s="3"/>
      <c r="E628" s="5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2"/>
      <c r="R628" s="2"/>
      <c r="S628" s="2"/>
      <c r="T628" s="2"/>
      <c r="U628" s="2"/>
    </row>
    <row r="629" spans="1:21" ht="12.75" hidden="1" customHeight="1" x14ac:dyDescent="0.2">
      <c r="A629" s="2"/>
      <c r="B629" s="41">
        <v>8082</v>
      </c>
      <c r="C629" s="3"/>
      <c r="D629" s="3"/>
      <c r="E629" s="5"/>
      <c r="F629" s="3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2"/>
      <c r="R629" s="2"/>
      <c r="S629" s="2"/>
      <c r="T629" s="2"/>
      <c r="U629" s="2"/>
    </row>
    <row r="630" spans="1:21" ht="12.75" hidden="1" customHeight="1" x14ac:dyDescent="0.2">
      <c r="A630" s="2"/>
      <c r="B630" s="41">
        <v>8083</v>
      </c>
      <c r="C630" s="3"/>
      <c r="D630" s="3"/>
      <c r="E630" s="5"/>
      <c r="F630" s="3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2"/>
      <c r="R630" s="2"/>
      <c r="S630" s="2"/>
      <c r="T630" s="2"/>
      <c r="U630" s="2"/>
    </row>
    <row r="631" spans="1:21" ht="12.75" hidden="1" customHeight="1" x14ac:dyDescent="0.2">
      <c r="A631" s="2"/>
      <c r="B631" s="41">
        <v>8084</v>
      </c>
      <c r="C631" s="3"/>
      <c r="D631" s="3"/>
      <c r="E631" s="5"/>
      <c r="F631" s="3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2"/>
      <c r="R631" s="2"/>
      <c r="S631" s="2"/>
      <c r="T631" s="2"/>
      <c r="U631" s="2"/>
    </row>
    <row r="632" spans="1:21" ht="12.75" hidden="1" customHeight="1" x14ac:dyDescent="0.2">
      <c r="A632" s="2"/>
      <c r="B632" s="41">
        <v>8085</v>
      </c>
      <c r="C632" s="3"/>
      <c r="D632" s="3"/>
      <c r="E632" s="5"/>
      <c r="F632" s="3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2"/>
      <c r="R632" s="2"/>
      <c r="S632" s="2"/>
      <c r="T632" s="2"/>
      <c r="U632" s="2"/>
    </row>
    <row r="633" spans="1:21" ht="12.75" hidden="1" customHeight="1" x14ac:dyDescent="0.2">
      <c r="A633" s="2"/>
      <c r="B633" s="41">
        <v>8086</v>
      </c>
      <c r="C633" s="3"/>
      <c r="D633" s="3"/>
      <c r="E633" s="5"/>
      <c r="F633" s="3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2"/>
      <c r="R633" s="2"/>
      <c r="S633" s="2"/>
      <c r="T633" s="2"/>
      <c r="U633" s="2"/>
    </row>
    <row r="634" spans="1:21" ht="12.75" hidden="1" customHeight="1" x14ac:dyDescent="0.2">
      <c r="A634" s="2"/>
      <c r="B634" s="41">
        <v>8087</v>
      </c>
      <c r="C634" s="3"/>
      <c r="D634" s="3"/>
      <c r="E634" s="5"/>
      <c r="F634" s="3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2"/>
      <c r="R634" s="2"/>
      <c r="S634" s="2"/>
      <c r="T634" s="2"/>
      <c r="U634" s="2"/>
    </row>
    <row r="635" spans="1:21" ht="12.75" hidden="1" customHeight="1" x14ac:dyDescent="0.2">
      <c r="A635" s="2"/>
      <c r="B635" s="41">
        <v>8088</v>
      </c>
      <c r="C635" s="3"/>
      <c r="D635" s="3"/>
      <c r="E635" s="5"/>
      <c r="F635" s="3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2"/>
      <c r="R635" s="2"/>
      <c r="S635" s="2"/>
      <c r="T635" s="2"/>
      <c r="U635" s="2"/>
    </row>
    <row r="636" spans="1:21" ht="12.75" hidden="1" customHeight="1" x14ac:dyDescent="0.2">
      <c r="A636" s="2"/>
      <c r="B636" s="41">
        <v>8089</v>
      </c>
      <c r="C636" s="3"/>
      <c r="D636" s="3"/>
      <c r="E636" s="5"/>
      <c r="F636" s="3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2"/>
      <c r="R636" s="2"/>
      <c r="S636" s="2"/>
      <c r="T636" s="2"/>
      <c r="U636" s="2"/>
    </row>
    <row r="637" spans="1:21" ht="12.75" hidden="1" customHeight="1" x14ac:dyDescent="0.2">
      <c r="A637" s="2"/>
      <c r="B637" s="41">
        <v>8090</v>
      </c>
      <c r="C637" s="3"/>
      <c r="D637" s="3"/>
      <c r="E637" s="5"/>
      <c r="F637" s="3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2"/>
      <c r="R637" s="2"/>
      <c r="S637" s="2"/>
      <c r="T637" s="2"/>
      <c r="U637" s="2"/>
    </row>
    <row r="638" spans="1:21" ht="12.75" hidden="1" customHeight="1" x14ac:dyDescent="0.2">
      <c r="A638" s="2"/>
      <c r="B638" s="41">
        <v>8091</v>
      </c>
      <c r="C638" s="3"/>
      <c r="D638" s="3"/>
      <c r="E638" s="5"/>
      <c r="F638" s="3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2"/>
      <c r="R638" s="2"/>
      <c r="S638" s="2"/>
      <c r="T638" s="2"/>
      <c r="U638" s="2"/>
    </row>
    <row r="639" spans="1:21" ht="12.75" hidden="1" customHeight="1" x14ac:dyDescent="0.2">
      <c r="A639" s="2"/>
      <c r="B639" s="41">
        <v>8092</v>
      </c>
      <c r="C639" s="3"/>
      <c r="D639" s="3"/>
      <c r="E639" s="5"/>
      <c r="F639" s="3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2"/>
      <c r="R639" s="2"/>
      <c r="S639" s="2"/>
      <c r="T639" s="2"/>
      <c r="U639" s="2"/>
    </row>
    <row r="640" spans="1:21" ht="12.75" hidden="1" customHeight="1" x14ac:dyDescent="0.2">
      <c r="A640" s="2"/>
      <c r="B640" s="41">
        <v>8093</v>
      </c>
      <c r="C640" s="3"/>
      <c r="D640" s="3"/>
      <c r="E640" s="5"/>
      <c r="F640" s="3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2"/>
      <c r="R640" s="2"/>
      <c r="S640" s="2"/>
      <c r="T640" s="2"/>
      <c r="U640" s="2"/>
    </row>
    <row r="641" spans="1:21" ht="12.75" hidden="1" customHeight="1" x14ac:dyDescent="0.2">
      <c r="A641" s="2"/>
      <c r="B641" s="41">
        <v>8094</v>
      </c>
      <c r="C641" s="3"/>
      <c r="D641" s="3"/>
      <c r="E641" s="5"/>
      <c r="F641" s="3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2"/>
      <c r="R641" s="2"/>
      <c r="S641" s="2"/>
      <c r="T641" s="2"/>
      <c r="U641" s="2"/>
    </row>
    <row r="642" spans="1:21" ht="12.75" hidden="1" customHeight="1" x14ac:dyDescent="0.2">
      <c r="A642" s="2"/>
      <c r="B642" s="41">
        <v>8095</v>
      </c>
      <c r="C642" s="3"/>
      <c r="D642" s="3"/>
      <c r="E642" s="5"/>
      <c r="F642" s="3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2"/>
      <c r="R642" s="2"/>
      <c r="S642" s="2"/>
      <c r="T642" s="2"/>
      <c r="U642" s="2"/>
    </row>
    <row r="643" spans="1:21" ht="12.75" hidden="1" customHeight="1" x14ac:dyDescent="0.2">
      <c r="A643" s="2"/>
      <c r="B643" s="41">
        <v>8096</v>
      </c>
      <c r="C643" s="3"/>
      <c r="D643" s="3"/>
      <c r="E643" s="5"/>
      <c r="F643" s="3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2"/>
      <c r="R643" s="2"/>
      <c r="S643" s="2"/>
      <c r="T643" s="2"/>
      <c r="U643" s="2"/>
    </row>
    <row r="644" spans="1:21" ht="12.75" hidden="1" customHeight="1" x14ac:dyDescent="0.2">
      <c r="A644" s="2"/>
      <c r="B644" s="41">
        <v>8097</v>
      </c>
      <c r="C644" s="3"/>
      <c r="D644" s="3"/>
      <c r="E644" s="5"/>
      <c r="F644" s="3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2"/>
      <c r="R644" s="2"/>
      <c r="S644" s="2"/>
      <c r="T644" s="2"/>
      <c r="U644" s="2"/>
    </row>
    <row r="645" spans="1:21" ht="12.75" hidden="1" customHeight="1" x14ac:dyDescent="0.2">
      <c r="A645" s="2"/>
      <c r="B645" s="41">
        <v>8098</v>
      </c>
      <c r="C645" s="3"/>
      <c r="D645" s="3"/>
      <c r="E645" s="5"/>
      <c r="F645" s="3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2"/>
      <c r="R645" s="2"/>
      <c r="S645" s="2"/>
      <c r="T645" s="2"/>
      <c r="U645" s="2"/>
    </row>
    <row r="646" spans="1:21" ht="12.75" hidden="1" customHeight="1" x14ac:dyDescent="0.2">
      <c r="A646" s="2"/>
      <c r="B646" s="41">
        <v>8099</v>
      </c>
      <c r="C646" s="3"/>
      <c r="D646" s="3"/>
      <c r="E646" s="5"/>
      <c r="F646" s="3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2"/>
      <c r="R646" s="2"/>
      <c r="S646" s="2"/>
      <c r="T646" s="2"/>
      <c r="U646" s="2"/>
    </row>
    <row r="647" spans="1:21" ht="12.75" hidden="1" customHeight="1" x14ac:dyDescent="0.2">
      <c r="A647" s="2"/>
      <c r="B647" s="41">
        <v>8100</v>
      </c>
      <c r="C647" s="3"/>
      <c r="D647" s="3"/>
      <c r="E647" s="5"/>
      <c r="F647" s="3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2"/>
      <c r="R647" s="2"/>
      <c r="S647" s="2"/>
      <c r="T647" s="2"/>
      <c r="U647" s="2"/>
    </row>
    <row r="648" spans="1:21" ht="12.75" hidden="1" customHeight="1" x14ac:dyDescent="0.2">
      <c r="A648" s="2"/>
      <c r="B648" s="41">
        <v>8101</v>
      </c>
      <c r="C648" s="3"/>
      <c r="D648" s="3"/>
      <c r="E648" s="5"/>
      <c r="F648" s="3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2"/>
      <c r="R648" s="2"/>
      <c r="S648" s="2"/>
      <c r="T648" s="2"/>
      <c r="U648" s="2"/>
    </row>
    <row r="649" spans="1:21" ht="12.75" hidden="1" customHeight="1" x14ac:dyDescent="0.2">
      <c r="A649" s="2"/>
      <c r="B649" s="41">
        <v>8102</v>
      </c>
      <c r="C649" s="3"/>
      <c r="D649" s="3"/>
      <c r="E649" s="5"/>
      <c r="F649" s="3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2"/>
      <c r="R649" s="2"/>
      <c r="S649" s="2"/>
      <c r="T649" s="2"/>
      <c r="U649" s="2"/>
    </row>
    <row r="650" spans="1:21" ht="12.75" hidden="1" customHeight="1" x14ac:dyDescent="0.2">
      <c r="A650" s="2"/>
      <c r="B650" s="41">
        <v>8103</v>
      </c>
      <c r="C650" s="3"/>
      <c r="D650" s="3"/>
      <c r="E650" s="5"/>
      <c r="F650" s="3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2"/>
      <c r="R650" s="2"/>
      <c r="S650" s="2"/>
      <c r="T650" s="2"/>
      <c r="U650" s="2"/>
    </row>
    <row r="651" spans="1:21" ht="12.75" hidden="1" customHeight="1" x14ac:dyDescent="0.2">
      <c r="A651" s="2"/>
      <c r="B651" s="41">
        <v>8104</v>
      </c>
      <c r="C651" s="3"/>
      <c r="D651" s="3"/>
      <c r="E651" s="5"/>
      <c r="F651" s="3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2"/>
      <c r="R651" s="2"/>
      <c r="S651" s="2"/>
      <c r="T651" s="2"/>
      <c r="U651" s="2"/>
    </row>
    <row r="652" spans="1:21" ht="12.75" hidden="1" customHeight="1" x14ac:dyDescent="0.2">
      <c r="A652" s="2"/>
      <c r="B652" s="41">
        <v>8105</v>
      </c>
      <c r="C652" s="3"/>
      <c r="D652" s="3"/>
      <c r="E652" s="5"/>
      <c r="F652" s="3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2"/>
      <c r="R652" s="2"/>
      <c r="S652" s="2"/>
      <c r="T652" s="2"/>
      <c r="U652" s="2"/>
    </row>
    <row r="653" spans="1:21" ht="12.75" hidden="1" customHeight="1" x14ac:dyDescent="0.2">
      <c r="A653" s="2"/>
      <c r="B653" s="41">
        <v>8106</v>
      </c>
      <c r="C653" s="3"/>
      <c r="D653" s="3"/>
      <c r="E653" s="5"/>
      <c r="F653" s="3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2"/>
      <c r="R653" s="2"/>
      <c r="S653" s="2"/>
      <c r="T653" s="2"/>
      <c r="U653" s="2"/>
    </row>
    <row r="654" spans="1:21" ht="12.75" hidden="1" customHeight="1" x14ac:dyDescent="0.2">
      <c r="A654" s="2"/>
      <c r="B654" s="41">
        <v>8107</v>
      </c>
      <c r="C654" s="3"/>
      <c r="D654" s="3"/>
      <c r="E654" s="5"/>
      <c r="F654" s="3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2"/>
      <c r="R654" s="2"/>
      <c r="S654" s="2"/>
      <c r="T654" s="2"/>
      <c r="U654" s="2"/>
    </row>
    <row r="655" spans="1:21" ht="12.75" hidden="1" customHeight="1" x14ac:dyDescent="0.2">
      <c r="A655" s="2"/>
      <c r="B655" s="41">
        <v>8108</v>
      </c>
      <c r="C655" s="3"/>
      <c r="D655" s="3"/>
      <c r="E655" s="5"/>
      <c r="F655" s="3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2"/>
      <c r="R655" s="2"/>
      <c r="S655" s="2"/>
      <c r="T655" s="2"/>
      <c r="U655" s="2"/>
    </row>
    <row r="656" spans="1:21" ht="12.75" hidden="1" customHeight="1" x14ac:dyDescent="0.2">
      <c r="A656" s="2"/>
      <c r="B656" s="41">
        <v>8109</v>
      </c>
      <c r="C656" s="3"/>
      <c r="D656" s="3"/>
      <c r="E656" s="5"/>
      <c r="F656" s="3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2"/>
      <c r="R656" s="2"/>
      <c r="S656" s="2"/>
      <c r="T656" s="2"/>
      <c r="U656" s="2"/>
    </row>
    <row r="657" spans="1:21" ht="12.75" hidden="1" customHeight="1" x14ac:dyDescent="0.2">
      <c r="A657" s="2"/>
      <c r="B657" s="41">
        <v>8110</v>
      </c>
      <c r="C657" s="3"/>
      <c r="D657" s="3"/>
      <c r="E657" s="5"/>
      <c r="F657" s="3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2"/>
      <c r="R657" s="2"/>
      <c r="S657" s="2"/>
      <c r="T657" s="2"/>
      <c r="U657" s="2"/>
    </row>
    <row r="658" spans="1:21" ht="12.75" hidden="1" customHeight="1" x14ac:dyDescent="0.2">
      <c r="A658" s="2"/>
      <c r="B658" s="41">
        <v>8111</v>
      </c>
      <c r="C658" s="3"/>
      <c r="D658" s="3"/>
      <c r="E658" s="5"/>
      <c r="F658" s="3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2"/>
      <c r="R658" s="2"/>
      <c r="S658" s="2"/>
      <c r="T658" s="2"/>
      <c r="U658" s="2"/>
    </row>
    <row r="659" spans="1:21" ht="12.75" hidden="1" customHeight="1" x14ac:dyDescent="0.2">
      <c r="A659" s="2"/>
      <c r="B659" s="41">
        <v>8112</v>
      </c>
      <c r="C659" s="3"/>
      <c r="D659" s="3"/>
      <c r="E659" s="5"/>
      <c r="F659" s="3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2"/>
      <c r="R659" s="2"/>
      <c r="S659" s="2"/>
      <c r="T659" s="2"/>
      <c r="U659" s="2"/>
    </row>
    <row r="660" spans="1:21" ht="12.75" hidden="1" customHeight="1" x14ac:dyDescent="0.2">
      <c r="A660" s="2"/>
      <c r="B660" s="41">
        <v>8113</v>
      </c>
      <c r="C660" s="3"/>
      <c r="D660" s="3"/>
      <c r="E660" s="5"/>
      <c r="F660" s="3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2"/>
      <c r="R660" s="2"/>
      <c r="S660" s="2"/>
      <c r="T660" s="2"/>
      <c r="U660" s="2"/>
    </row>
    <row r="661" spans="1:21" ht="12.75" hidden="1" customHeight="1" x14ac:dyDescent="0.2">
      <c r="A661" s="2"/>
      <c r="B661" s="41">
        <v>8114</v>
      </c>
      <c r="C661" s="3"/>
      <c r="D661" s="3"/>
      <c r="E661" s="5"/>
      <c r="F661" s="3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2"/>
      <c r="R661" s="2"/>
      <c r="S661" s="2"/>
      <c r="T661" s="2"/>
      <c r="U661" s="2"/>
    </row>
    <row r="662" spans="1:21" ht="12.75" hidden="1" customHeight="1" x14ac:dyDescent="0.2">
      <c r="A662" s="2"/>
      <c r="B662" s="41">
        <v>8115</v>
      </c>
      <c r="C662" s="3"/>
      <c r="D662" s="3"/>
      <c r="E662" s="5"/>
      <c r="F662" s="3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2"/>
      <c r="R662" s="2"/>
      <c r="S662" s="2"/>
      <c r="T662" s="2"/>
      <c r="U662" s="2"/>
    </row>
    <row r="663" spans="1:21" ht="12.75" hidden="1" customHeight="1" x14ac:dyDescent="0.2">
      <c r="A663" s="2"/>
      <c r="B663" s="41">
        <v>8116</v>
      </c>
      <c r="C663" s="3"/>
      <c r="D663" s="3"/>
      <c r="E663" s="5"/>
      <c r="F663" s="3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2"/>
      <c r="R663" s="2"/>
      <c r="S663" s="2"/>
      <c r="T663" s="2"/>
      <c r="U663" s="2"/>
    </row>
    <row r="664" spans="1:21" ht="12.75" hidden="1" customHeight="1" x14ac:dyDescent="0.2">
      <c r="A664" s="2"/>
      <c r="B664" s="41">
        <v>8117</v>
      </c>
      <c r="C664" s="3"/>
      <c r="D664" s="3"/>
      <c r="E664" s="5"/>
      <c r="F664" s="3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2"/>
      <c r="R664" s="2"/>
      <c r="S664" s="2"/>
      <c r="T664" s="2"/>
      <c r="U664" s="2"/>
    </row>
    <row r="665" spans="1:21" ht="12.75" hidden="1" customHeight="1" x14ac:dyDescent="0.2">
      <c r="A665" s="2"/>
      <c r="B665" s="41">
        <v>8118</v>
      </c>
      <c r="C665" s="3"/>
      <c r="D665" s="3"/>
      <c r="E665" s="5"/>
      <c r="F665" s="3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2"/>
      <c r="R665" s="2"/>
      <c r="S665" s="2"/>
      <c r="T665" s="2"/>
      <c r="U665" s="2"/>
    </row>
    <row r="666" spans="1:21" ht="12.75" hidden="1" customHeight="1" x14ac:dyDescent="0.2">
      <c r="A666" s="2"/>
      <c r="B666" s="41">
        <v>8119</v>
      </c>
      <c r="C666" s="3"/>
      <c r="D666" s="3"/>
      <c r="E666" s="5"/>
      <c r="F666" s="3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2"/>
      <c r="R666" s="2"/>
      <c r="S666" s="2"/>
      <c r="T666" s="2"/>
      <c r="U666" s="2"/>
    </row>
    <row r="667" spans="1:21" ht="12.75" hidden="1" customHeight="1" x14ac:dyDescent="0.2">
      <c r="A667" s="2"/>
      <c r="B667" s="41">
        <v>8120</v>
      </c>
      <c r="C667" s="3"/>
      <c r="D667" s="3"/>
      <c r="E667" s="5"/>
      <c r="F667" s="3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2"/>
      <c r="R667" s="2"/>
      <c r="S667" s="2"/>
      <c r="T667" s="2"/>
      <c r="U667" s="2"/>
    </row>
    <row r="668" spans="1:21" ht="12.75" hidden="1" customHeight="1" x14ac:dyDescent="0.2">
      <c r="A668" s="2"/>
      <c r="B668" s="41">
        <v>8121</v>
      </c>
      <c r="C668" s="3"/>
      <c r="D668" s="3"/>
      <c r="E668" s="5"/>
      <c r="F668" s="3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2"/>
      <c r="R668" s="2"/>
      <c r="S668" s="2"/>
      <c r="T668" s="2"/>
      <c r="U668" s="2"/>
    </row>
    <row r="669" spans="1:21" ht="12.75" hidden="1" customHeight="1" x14ac:dyDescent="0.2">
      <c r="A669" s="2"/>
      <c r="B669" s="41">
        <v>8126</v>
      </c>
      <c r="C669" s="3"/>
      <c r="D669" s="3"/>
      <c r="E669" s="5"/>
      <c r="F669" s="3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2"/>
      <c r="R669" s="2"/>
      <c r="S669" s="2"/>
      <c r="T669" s="2"/>
      <c r="U669" s="2"/>
    </row>
    <row r="670" spans="1:21" ht="12.75" hidden="1" customHeight="1" x14ac:dyDescent="0.2">
      <c r="A670" s="2"/>
      <c r="B670" s="41">
        <v>8127</v>
      </c>
      <c r="C670" s="3"/>
      <c r="D670" s="3"/>
      <c r="E670" s="5"/>
      <c r="F670" s="3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2"/>
      <c r="R670" s="2"/>
      <c r="S670" s="2"/>
      <c r="T670" s="2"/>
      <c r="U670" s="2"/>
    </row>
    <row r="671" spans="1:21" ht="12.75" hidden="1" customHeight="1" x14ac:dyDescent="0.2">
      <c r="A671" s="2"/>
      <c r="B671" s="41">
        <v>8128</v>
      </c>
      <c r="C671" s="3"/>
      <c r="D671" s="3"/>
      <c r="E671" s="5"/>
      <c r="F671" s="3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2"/>
      <c r="R671" s="2"/>
      <c r="S671" s="2"/>
      <c r="T671" s="2"/>
      <c r="U671" s="2"/>
    </row>
    <row r="672" spans="1:21" ht="12.75" hidden="1" customHeight="1" x14ac:dyDescent="0.2">
      <c r="A672" s="2"/>
      <c r="B672" s="41">
        <v>8129</v>
      </c>
      <c r="C672" s="3"/>
      <c r="D672" s="3"/>
      <c r="E672" s="5"/>
      <c r="F672" s="3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2"/>
      <c r="R672" s="2"/>
      <c r="S672" s="2"/>
      <c r="T672" s="2"/>
      <c r="U672" s="2"/>
    </row>
    <row r="673" spans="1:21" ht="12.75" hidden="1" customHeight="1" x14ac:dyDescent="0.2">
      <c r="A673" s="2"/>
      <c r="B673" s="41">
        <v>8201</v>
      </c>
      <c r="C673" s="3"/>
      <c r="D673" s="3"/>
      <c r="E673" s="5"/>
      <c r="F673" s="3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2"/>
      <c r="R673" s="2"/>
      <c r="S673" s="2"/>
      <c r="T673" s="2"/>
      <c r="U673" s="2"/>
    </row>
    <row r="674" spans="1:21" ht="12.75" hidden="1" customHeight="1" x14ac:dyDescent="0.2">
      <c r="A674" s="2"/>
      <c r="B674" s="41">
        <v>8300</v>
      </c>
      <c r="C674" s="3"/>
      <c r="D674" s="3"/>
      <c r="E674" s="5"/>
      <c r="F674" s="3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2"/>
      <c r="R674" s="2"/>
      <c r="S674" s="2"/>
      <c r="T674" s="2"/>
      <c r="U674" s="2"/>
    </row>
    <row r="675" spans="1:21" ht="12.75" hidden="1" customHeight="1" x14ac:dyDescent="0.2">
      <c r="A675" s="2"/>
      <c r="B675" s="41">
        <v>8301</v>
      </c>
      <c r="C675" s="3"/>
      <c r="D675" s="3"/>
      <c r="E675" s="5"/>
      <c r="F675" s="3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2"/>
      <c r="R675" s="2"/>
      <c r="S675" s="2"/>
      <c r="T675" s="2"/>
      <c r="U675" s="2"/>
    </row>
    <row r="676" spans="1:21" ht="12.75" hidden="1" customHeight="1" x14ac:dyDescent="0.2">
      <c r="A676" s="2"/>
      <c r="B676" s="41">
        <v>8302</v>
      </c>
      <c r="C676" s="3"/>
      <c r="D676" s="3"/>
      <c r="E676" s="5"/>
      <c r="F676" s="3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2"/>
      <c r="R676" s="2"/>
      <c r="S676" s="2"/>
      <c r="T676" s="2"/>
      <c r="U676" s="2"/>
    </row>
    <row r="677" spans="1:21" ht="12.75" hidden="1" customHeight="1" x14ac:dyDescent="0.2">
      <c r="A677" s="2"/>
      <c r="B677" s="41">
        <v>8303</v>
      </c>
      <c r="C677" s="3"/>
      <c r="D677" s="3"/>
      <c r="E677" s="5"/>
      <c r="F677" s="3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2"/>
      <c r="R677" s="2"/>
      <c r="S677" s="2"/>
      <c r="T677" s="2"/>
      <c r="U677" s="2"/>
    </row>
    <row r="678" spans="1:21" ht="12.75" hidden="1" customHeight="1" x14ac:dyDescent="0.2">
      <c r="A678" s="2"/>
      <c r="B678" s="41">
        <v>8304</v>
      </c>
      <c r="C678" s="3"/>
      <c r="D678" s="3"/>
      <c r="E678" s="5"/>
      <c r="F678" s="3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2"/>
      <c r="R678" s="2"/>
      <c r="S678" s="2"/>
      <c r="T678" s="2"/>
      <c r="U678" s="2"/>
    </row>
    <row r="679" spans="1:21" ht="12.75" hidden="1" customHeight="1" x14ac:dyDescent="0.2">
      <c r="A679" s="2"/>
      <c r="B679" s="41">
        <v>8306</v>
      </c>
      <c r="C679" s="3"/>
      <c r="D679" s="3"/>
      <c r="E679" s="5"/>
      <c r="F679" s="3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2"/>
      <c r="R679" s="2"/>
      <c r="S679" s="2"/>
      <c r="T679" s="2"/>
      <c r="U679" s="2"/>
    </row>
    <row r="680" spans="1:21" ht="12.75" hidden="1" customHeight="1" x14ac:dyDescent="0.2">
      <c r="A680" s="2"/>
      <c r="B680" s="41">
        <v>8307</v>
      </c>
      <c r="C680" s="3"/>
      <c r="D680" s="3"/>
      <c r="E680" s="5"/>
      <c r="F680" s="3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2"/>
      <c r="R680" s="2"/>
      <c r="S680" s="2"/>
      <c r="T680" s="2"/>
      <c r="U680" s="2"/>
    </row>
    <row r="681" spans="1:21" ht="12.75" hidden="1" customHeight="1" x14ac:dyDescent="0.2">
      <c r="A681" s="2"/>
      <c r="B681" s="41">
        <v>8308</v>
      </c>
      <c r="C681" s="3"/>
      <c r="D681" s="3"/>
      <c r="E681" s="5"/>
      <c r="F681" s="3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2"/>
      <c r="R681" s="2"/>
      <c r="S681" s="2"/>
      <c r="T681" s="2"/>
      <c r="U681" s="2"/>
    </row>
    <row r="682" spans="1:21" ht="12.75" hidden="1" customHeight="1" x14ac:dyDescent="0.2">
      <c r="A682" s="2"/>
      <c r="B682" s="41">
        <v>8309</v>
      </c>
      <c r="C682" s="3"/>
      <c r="D682" s="3"/>
      <c r="E682" s="5"/>
      <c r="F682" s="3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2"/>
      <c r="R682" s="2"/>
      <c r="S682" s="2"/>
      <c r="T682" s="2"/>
      <c r="U682" s="2"/>
    </row>
    <row r="683" spans="1:21" ht="12.75" hidden="1" customHeight="1" x14ac:dyDescent="0.2">
      <c r="A683" s="2"/>
      <c r="B683" s="41">
        <v>8310</v>
      </c>
      <c r="C683" s="3"/>
      <c r="D683" s="3"/>
      <c r="E683" s="5"/>
      <c r="F683" s="3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2"/>
      <c r="R683" s="2"/>
      <c r="S683" s="2"/>
      <c r="T683" s="2"/>
      <c r="U683" s="2"/>
    </row>
    <row r="684" spans="1:21" ht="12.75" hidden="1" customHeight="1" x14ac:dyDescent="0.2">
      <c r="A684" s="2"/>
      <c r="B684" s="41">
        <v>8313</v>
      </c>
      <c r="C684" s="3"/>
      <c r="D684" s="3"/>
      <c r="E684" s="5"/>
      <c r="F684" s="3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2"/>
      <c r="R684" s="2"/>
      <c r="S684" s="2"/>
      <c r="T684" s="2"/>
      <c r="U684" s="2"/>
    </row>
    <row r="685" spans="1:21" ht="12.75" hidden="1" customHeight="1" x14ac:dyDescent="0.2">
      <c r="A685" s="2"/>
      <c r="B685" s="41">
        <v>8318</v>
      </c>
      <c r="C685" s="3"/>
      <c r="D685" s="3"/>
      <c r="E685" s="5"/>
      <c r="F685" s="3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2"/>
      <c r="R685" s="2"/>
      <c r="S685" s="2"/>
      <c r="T685" s="2"/>
      <c r="U685" s="2"/>
    </row>
    <row r="686" spans="1:21" ht="12.75" hidden="1" customHeight="1" x14ac:dyDescent="0.2">
      <c r="A686" s="2"/>
      <c r="B686" s="41">
        <v>8319</v>
      </c>
      <c r="C686" s="3"/>
      <c r="D686" s="3"/>
      <c r="E686" s="5"/>
      <c r="F686" s="3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2"/>
      <c r="R686" s="2"/>
      <c r="S686" s="2"/>
      <c r="T686" s="2"/>
      <c r="U686" s="2"/>
    </row>
    <row r="687" spans="1:21" ht="12.75" hidden="1" customHeight="1" x14ac:dyDescent="0.2">
      <c r="A687" s="2"/>
      <c r="B687" s="41">
        <v>8320</v>
      </c>
      <c r="C687" s="3"/>
      <c r="D687" s="3"/>
      <c r="E687" s="5"/>
      <c r="F687" s="3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2"/>
      <c r="R687" s="2"/>
      <c r="S687" s="2"/>
      <c r="T687" s="2"/>
      <c r="U687" s="2"/>
    </row>
    <row r="688" spans="1:21" ht="12.75" hidden="1" customHeight="1" x14ac:dyDescent="0.2">
      <c r="A688" s="2"/>
      <c r="B688" s="41">
        <v>8321</v>
      </c>
      <c r="C688" s="3"/>
      <c r="D688" s="3"/>
      <c r="E688" s="5"/>
      <c r="F688" s="3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2"/>
      <c r="R688" s="2"/>
      <c r="S688" s="2"/>
      <c r="T688" s="2"/>
      <c r="U688" s="2"/>
    </row>
    <row r="689" spans="1:21" ht="12.75" hidden="1" customHeight="1" x14ac:dyDescent="0.2">
      <c r="A689" s="2"/>
      <c r="B689" s="41">
        <v>8322</v>
      </c>
      <c r="C689" s="3"/>
      <c r="D689" s="3"/>
      <c r="E689" s="5"/>
      <c r="F689" s="3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2"/>
      <c r="R689" s="2"/>
      <c r="S689" s="2"/>
      <c r="T689" s="2"/>
      <c r="U689" s="2"/>
    </row>
    <row r="690" spans="1:21" ht="12.75" hidden="1" customHeight="1" x14ac:dyDescent="0.2">
      <c r="A690" s="2"/>
      <c r="B690" s="41">
        <v>8324</v>
      </c>
      <c r="C690" s="3"/>
      <c r="D690" s="3"/>
      <c r="E690" s="5"/>
      <c r="F690" s="3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2"/>
      <c r="R690" s="2"/>
      <c r="S690" s="2"/>
      <c r="T690" s="2"/>
      <c r="U690" s="2"/>
    </row>
    <row r="691" spans="1:21" ht="12.75" hidden="1" customHeight="1" x14ac:dyDescent="0.2">
      <c r="A691" s="2"/>
      <c r="B691" s="41">
        <v>8326</v>
      </c>
      <c r="C691" s="3"/>
      <c r="D691" s="3"/>
      <c r="E691" s="5"/>
      <c r="F691" s="3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2"/>
      <c r="R691" s="2"/>
      <c r="S691" s="2"/>
      <c r="T691" s="2"/>
      <c r="U691" s="2"/>
    </row>
    <row r="692" spans="1:21" ht="12.75" hidden="1" customHeight="1" x14ac:dyDescent="0.2">
      <c r="A692" s="2"/>
      <c r="B692" s="41">
        <v>8327</v>
      </c>
      <c r="C692" s="3"/>
      <c r="D692" s="3"/>
      <c r="E692" s="5"/>
      <c r="F692" s="3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2"/>
      <c r="R692" s="2"/>
      <c r="S692" s="2"/>
      <c r="T692" s="2"/>
      <c r="U692" s="2"/>
    </row>
    <row r="693" spans="1:21" ht="12.75" hidden="1" customHeight="1" x14ac:dyDescent="0.2">
      <c r="A693" s="2"/>
      <c r="B693" s="41">
        <v>8328</v>
      </c>
      <c r="C693" s="3"/>
      <c r="D693" s="3"/>
      <c r="E693" s="5"/>
      <c r="F693" s="3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2"/>
      <c r="R693" s="2"/>
      <c r="S693" s="2"/>
      <c r="T693" s="2"/>
      <c r="U693" s="2"/>
    </row>
    <row r="694" spans="1:21" ht="12.75" hidden="1" customHeight="1" x14ac:dyDescent="0.2">
      <c r="A694" s="2"/>
      <c r="B694" s="41">
        <v>8401</v>
      </c>
      <c r="C694" s="3"/>
      <c r="D694" s="3"/>
      <c r="E694" s="5"/>
      <c r="F694" s="3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2"/>
      <c r="R694" s="2"/>
      <c r="S694" s="2"/>
      <c r="T694" s="2"/>
      <c r="U694" s="2"/>
    </row>
    <row r="695" spans="1:21" ht="12.75" hidden="1" customHeight="1" x14ac:dyDescent="0.2">
      <c r="A695" s="2"/>
      <c r="B695" s="41">
        <v>9018</v>
      </c>
      <c r="C695" s="3"/>
      <c r="D695" s="3"/>
      <c r="E695" s="5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2"/>
      <c r="R695" s="2"/>
      <c r="S695" s="2"/>
      <c r="T695" s="2"/>
      <c r="U695" s="2"/>
    </row>
    <row r="696" spans="1:21" ht="12.75" hidden="1" customHeight="1" x14ac:dyDescent="0.2">
      <c r="A696" s="2"/>
      <c r="B696" s="41">
        <v>9019</v>
      </c>
      <c r="C696" s="3"/>
      <c r="D696" s="3"/>
      <c r="E696" s="5"/>
      <c r="F696" s="3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2"/>
      <c r="R696" s="2"/>
      <c r="S696" s="2"/>
      <c r="T696" s="2"/>
      <c r="U696" s="2"/>
    </row>
    <row r="697" spans="1:21" ht="12.75" hidden="1" customHeight="1" x14ac:dyDescent="0.2">
      <c r="A697" s="2"/>
      <c r="B697" s="41">
        <v>9020</v>
      </c>
      <c r="C697" s="3"/>
      <c r="D697" s="3"/>
      <c r="E697" s="5"/>
      <c r="F697" s="3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2"/>
      <c r="R697" s="2"/>
      <c r="S697" s="2"/>
      <c r="T697" s="2"/>
      <c r="U697" s="2"/>
    </row>
    <row r="698" spans="1:21" ht="12.75" hidden="1" customHeight="1" x14ac:dyDescent="0.2">
      <c r="A698" s="2"/>
      <c r="B698" s="41">
        <v>9021</v>
      </c>
      <c r="C698" s="3"/>
      <c r="D698" s="3"/>
      <c r="E698" s="5"/>
      <c r="F698" s="3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2"/>
      <c r="R698" s="2"/>
      <c r="S698" s="2"/>
      <c r="T698" s="2"/>
      <c r="U698" s="2"/>
    </row>
    <row r="699" spans="1:21" ht="12.75" hidden="1" customHeight="1" x14ac:dyDescent="0.2">
      <c r="A699" s="2"/>
      <c r="B699" s="41">
        <v>9022</v>
      </c>
      <c r="C699" s="3"/>
      <c r="D699" s="3"/>
      <c r="E699" s="5"/>
      <c r="F699" s="3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2"/>
      <c r="R699" s="2"/>
      <c r="S699" s="2"/>
      <c r="T699" s="2"/>
      <c r="U699" s="2"/>
    </row>
    <row r="700" spans="1:21" ht="12.75" hidden="1" customHeight="1" x14ac:dyDescent="0.2">
      <c r="A700" s="2"/>
      <c r="B700" s="41">
        <v>9023</v>
      </c>
      <c r="C700" s="3"/>
      <c r="D700" s="3"/>
      <c r="E700" s="5"/>
      <c r="F700" s="3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2"/>
      <c r="R700" s="2"/>
      <c r="S700" s="2"/>
      <c r="T700" s="2"/>
      <c r="U700" s="2"/>
    </row>
    <row r="701" spans="1:21" ht="12.75" hidden="1" customHeight="1" x14ac:dyDescent="0.2">
      <c r="A701" s="2"/>
      <c r="B701" s="41">
        <v>9024</v>
      </c>
      <c r="C701" s="3"/>
      <c r="D701" s="3"/>
      <c r="E701" s="5"/>
      <c r="F701" s="3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2"/>
      <c r="R701" s="2"/>
      <c r="S701" s="2"/>
      <c r="T701" s="2"/>
      <c r="U701" s="2"/>
    </row>
    <row r="702" spans="1:21" ht="12.75" hidden="1" customHeight="1" x14ac:dyDescent="0.2">
      <c r="A702" s="2"/>
      <c r="B702" s="41">
        <v>9025</v>
      </c>
      <c r="C702" s="3"/>
      <c r="D702" s="3"/>
      <c r="E702" s="5"/>
      <c r="F702" s="3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2"/>
      <c r="R702" s="2"/>
      <c r="S702" s="2"/>
      <c r="T702" s="2"/>
      <c r="U702" s="2"/>
    </row>
    <row r="703" spans="1:21" ht="12.75" hidden="1" customHeight="1" x14ac:dyDescent="0.2">
      <c r="A703" s="2"/>
      <c r="B703" s="41">
        <v>9026</v>
      </c>
      <c r="C703" s="3"/>
      <c r="D703" s="3"/>
      <c r="E703" s="5"/>
      <c r="F703" s="3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2"/>
      <c r="R703" s="2"/>
      <c r="S703" s="2"/>
      <c r="T703" s="2"/>
      <c r="U703" s="2"/>
    </row>
    <row r="704" spans="1:21" ht="12.75" hidden="1" customHeight="1" x14ac:dyDescent="0.2">
      <c r="A704" s="2"/>
      <c r="B704" s="41">
        <v>9028</v>
      </c>
      <c r="C704" s="3"/>
      <c r="D704" s="3"/>
      <c r="E704" s="5"/>
      <c r="F704" s="3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2"/>
      <c r="R704" s="2"/>
      <c r="S704" s="2"/>
      <c r="T704" s="2"/>
      <c r="U704" s="2"/>
    </row>
    <row r="705" spans="1:21" ht="12.75" hidden="1" customHeight="1" x14ac:dyDescent="0.2">
      <c r="A705" s="2"/>
      <c r="B705" s="41">
        <v>9029</v>
      </c>
      <c r="C705" s="3"/>
      <c r="D705" s="3"/>
      <c r="E705" s="5"/>
      <c r="F705" s="3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2"/>
      <c r="R705" s="2"/>
      <c r="S705" s="2"/>
      <c r="T705" s="2"/>
      <c r="U705" s="2"/>
    </row>
    <row r="706" spans="1:21" ht="12.75" hidden="1" customHeight="1" x14ac:dyDescent="0.2">
      <c r="A706" s="2"/>
      <c r="B706" s="41">
        <v>9030</v>
      </c>
      <c r="C706" s="3"/>
      <c r="D706" s="3"/>
      <c r="E706" s="5"/>
      <c r="F706" s="3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2"/>
      <c r="R706" s="2"/>
      <c r="S706" s="2"/>
      <c r="T706" s="2"/>
      <c r="U706" s="2"/>
    </row>
    <row r="707" spans="1:21" ht="12.75" hidden="1" customHeight="1" x14ac:dyDescent="0.2">
      <c r="A707" s="2"/>
      <c r="B707" s="41">
        <v>9031</v>
      </c>
      <c r="C707" s="3"/>
      <c r="D707" s="3"/>
      <c r="E707" s="5"/>
      <c r="F707" s="3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2"/>
      <c r="R707" s="2"/>
      <c r="S707" s="2"/>
      <c r="T707" s="2"/>
      <c r="U707" s="2"/>
    </row>
    <row r="708" spans="1:21" ht="12.75" hidden="1" customHeight="1" x14ac:dyDescent="0.2">
      <c r="A708" s="2"/>
      <c r="B708" s="41">
        <v>9032</v>
      </c>
      <c r="C708" s="3"/>
      <c r="D708" s="3"/>
      <c r="E708" s="5"/>
      <c r="F708" s="3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2"/>
      <c r="R708" s="2"/>
      <c r="S708" s="2"/>
      <c r="T708" s="2"/>
      <c r="U708" s="2"/>
    </row>
    <row r="709" spans="1:21" ht="12.75" hidden="1" customHeight="1" x14ac:dyDescent="0.2">
      <c r="A709" s="2"/>
      <c r="B709" s="41">
        <v>9033</v>
      </c>
      <c r="C709" s="3"/>
      <c r="D709" s="3"/>
      <c r="E709" s="5"/>
      <c r="F709" s="3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2"/>
      <c r="R709" s="2"/>
      <c r="S709" s="2"/>
      <c r="T709" s="2"/>
      <c r="U709" s="2"/>
    </row>
    <row r="710" spans="1:21" ht="12.75" hidden="1" customHeight="1" x14ac:dyDescent="0.2">
      <c r="A710" s="2"/>
      <c r="B710" s="3">
        <v>9034</v>
      </c>
      <c r="C710" s="3"/>
      <c r="D710" s="3"/>
      <c r="E710" s="5"/>
      <c r="F710" s="3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2"/>
      <c r="R710" s="2"/>
      <c r="S710" s="2"/>
      <c r="T710" s="2"/>
      <c r="U710" s="2"/>
    </row>
    <row r="711" spans="1:21" ht="12.75" hidden="1" customHeight="1" x14ac:dyDescent="0.2">
      <c r="A711" s="2"/>
      <c r="B711" s="3">
        <v>9035</v>
      </c>
      <c r="C711" s="3"/>
      <c r="D711" s="3"/>
      <c r="E711" s="5"/>
      <c r="F711" s="3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2"/>
      <c r="R711" s="2"/>
      <c r="S711" s="2"/>
      <c r="T711" s="2"/>
      <c r="U711" s="2"/>
    </row>
    <row r="712" spans="1:21" ht="12.75" hidden="1" customHeight="1" x14ac:dyDescent="0.2">
      <c r="A712" s="2"/>
      <c r="B712" s="3">
        <v>9037</v>
      </c>
      <c r="C712" s="3"/>
      <c r="D712" s="3"/>
      <c r="E712" s="5"/>
      <c r="F712" s="3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2"/>
      <c r="R712" s="2"/>
      <c r="S712" s="2"/>
      <c r="T712" s="2"/>
      <c r="U712" s="2"/>
    </row>
    <row r="713" spans="1:21" ht="12.75" hidden="1" customHeight="1" x14ac:dyDescent="0.2">
      <c r="A713" s="2"/>
      <c r="B713" s="3">
        <v>9038</v>
      </c>
      <c r="C713" s="3"/>
      <c r="D713" s="3"/>
      <c r="E713" s="5"/>
      <c r="F713" s="3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2"/>
      <c r="R713" s="2"/>
      <c r="S713" s="2"/>
      <c r="T713" s="2"/>
      <c r="U713" s="2"/>
    </row>
    <row r="714" spans="1:21" ht="12.75" hidden="1" customHeight="1" x14ac:dyDescent="0.2">
      <c r="A714" s="2"/>
      <c r="B714" s="3">
        <v>9039</v>
      </c>
      <c r="C714" s="3"/>
      <c r="D714" s="3"/>
      <c r="E714" s="5"/>
      <c r="F714" s="3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2"/>
      <c r="R714" s="2"/>
      <c r="S714" s="2"/>
      <c r="T714" s="2"/>
      <c r="U714" s="2"/>
    </row>
    <row r="715" spans="1:21" ht="12.75" hidden="1" customHeight="1" x14ac:dyDescent="0.2">
      <c r="A715" s="2"/>
      <c r="B715" s="3">
        <v>9047</v>
      </c>
      <c r="C715" s="3"/>
      <c r="D715" s="3"/>
      <c r="E715" s="5"/>
      <c r="F715" s="3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2"/>
      <c r="R715" s="2"/>
      <c r="S715" s="2"/>
      <c r="T715" s="2"/>
      <c r="U715" s="2"/>
    </row>
    <row r="716" spans="1:21" ht="12.75" customHeight="1" x14ac:dyDescent="0.2">
      <c r="A716" s="2"/>
      <c r="B716" s="3"/>
      <c r="C716" s="3"/>
      <c r="D716" s="3"/>
      <c r="E716" s="5"/>
      <c r="F716" s="3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2"/>
      <c r="R716" s="2"/>
      <c r="S716" s="2"/>
      <c r="T716" s="2"/>
      <c r="U716" s="2"/>
    </row>
    <row r="717" spans="1:21" ht="12.75" customHeight="1" x14ac:dyDescent="0.2">
      <c r="A717" s="2"/>
      <c r="B717" s="3"/>
      <c r="C717" s="3"/>
      <c r="D717" s="3"/>
      <c r="E717" s="5"/>
      <c r="F717" s="3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2"/>
      <c r="R717" s="2"/>
      <c r="S717" s="2"/>
      <c r="T717" s="2"/>
      <c r="U717" s="2"/>
    </row>
    <row r="718" spans="1:21" ht="12.75" customHeight="1" x14ac:dyDescent="0.2">
      <c r="A718" s="2"/>
      <c r="B718" s="3"/>
      <c r="C718" s="3"/>
      <c r="D718" s="3"/>
      <c r="E718" s="5"/>
      <c r="F718" s="3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2"/>
      <c r="R718" s="2"/>
      <c r="S718" s="2"/>
      <c r="T718" s="2"/>
      <c r="U718" s="2"/>
    </row>
    <row r="719" spans="1:21" ht="12.75" customHeight="1" x14ac:dyDescent="0.2">
      <c r="A719" s="2"/>
      <c r="B719" s="3"/>
      <c r="C719" s="3"/>
      <c r="D719" s="3"/>
      <c r="E719" s="5"/>
      <c r="F719" s="3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2"/>
      <c r="R719" s="2"/>
      <c r="S719" s="2"/>
      <c r="T719" s="2"/>
      <c r="U719" s="2"/>
    </row>
    <row r="720" spans="1:21" ht="12.75" customHeight="1" x14ac:dyDescent="0.2">
      <c r="A720" s="2"/>
      <c r="B720" s="3"/>
      <c r="C720" s="3"/>
      <c r="D720" s="3"/>
      <c r="E720" s="5"/>
      <c r="F720" s="3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2"/>
      <c r="R720" s="2"/>
      <c r="S720" s="2"/>
      <c r="T720" s="2"/>
      <c r="U720" s="2"/>
    </row>
    <row r="721" spans="1:21" ht="12.75" customHeight="1" x14ac:dyDescent="0.2">
      <c r="A721" s="2"/>
      <c r="B721" s="3"/>
      <c r="C721" s="3"/>
      <c r="D721" s="3"/>
      <c r="E721" s="5"/>
      <c r="F721" s="3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2"/>
      <c r="R721" s="2"/>
      <c r="S721" s="2"/>
      <c r="T721" s="2"/>
      <c r="U721" s="2"/>
    </row>
    <row r="722" spans="1:21" ht="12.75" customHeight="1" x14ac:dyDescent="0.2">
      <c r="A722" s="2"/>
      <c r="B722" s="3"/>
      <c r="C722" s="3"/>
      <c r="D722" s="3"/>
      <c r="E722" s="5"/>
      <c r="F722" s="3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2"/>
      <c r="R722" s="2"/>
      <c r="S722" s="2"/>
      <c r="T722" s="2"/>
      <c r="U722" s="2"/>
    </row>
  </sheetData>
  <autoFilter ref="B20:P328" xr:uid="{00000000-0009-0000-0000-000001000000}"/>
  <mergeCells count="6">
    <mergeCell ref="G10:N10"/>
    <mergeCell ref="B1:G1"/>
    <mergeCell ref="J1:M1"/>
    <mergeCell ref="C7:G7"/>
    <mergeCell ref="G8:N8"/>
    <mergeCell ref="G9:N9"/>
  </mergeCells>
  <conditionalFormatting sqref="C21:C328">
    <cfRule type="cellIs" dxfId="3" priority="1" operator="equal">
      <formula>"Referencia não cadastrada na tabela selecionada"</formula>
    </cfRule>
    <cfRule type="cellIs" dxfId="2" priority="2" operator="equal">
      <formula>"Informar UF / Tabela / Prazo de Pagamento"</formula>
    </cfRule>
    <cfRule type="cellIs" dxfId="1" priority="3" operator="equal">
      <formula>"Informar Tabela"</formula>
    </cfRule>
  </conditionalFormatting>
  <conditionalFormatting sqref="G21:G328">
    <cfRule type="containsText" dxfId="0" priority="4" operator="containsText" text="REF. NÃO CADASTRADA NA TABELA">
      <formula>NOT(ISERROR(SEARCH(("REF. NÃO CADASTRADA NA TABELA"),(G21))))</formula>
    </cfRule>
  </conditionalFormatting>
  <dataValidations count="4">
    <dataValidation type="list" allowBlank="1" showInputMessage="1" showErrorMessage="1" prompt="Escolha o Estado" sqref="O8:P8" xr:uid="{00000000-0002-0000-0100-000000000000}">
      <formula1>#REF!</formula1>
    </dataValidation>
    <dataValidation type="list" allowBlank="1" showErrorMessage="1" sqref="C9" xr:uid="{00000000-0002-0000-0100-000001000000}">
      <formula1>$T$2:$T$5</formula1>
    </dataValidation>
    <dataValidation type="list" allowBlank="1" showInputMessage="1" showErrorMessage="1" prompt="Escolha o Estado" sqref="F6" xr:uid="{00000000-0002-0000-0100-000002000000}">
      <formula1>$U$2:$U$22</formula1>
    </dataValidation>
    <dataValidation type="list" allowBlank="1" showInputMessage="1" showErrorMessage="1" prompt="Escolha o Estado" sqref="F9" xr:uid="{00000000-0002-0000-0100-000003000000}">
      <formula1>$S$2:$S$12</formula1>
    </dataValidation>
  </dataValidations>
  <printOptions horizontalCentered="1" verticalCentered="1"/>
  <pageMargins left="0.51181102362204722" right="0.51181102362204722" top="0.39370078740157483" bottom="0.39370078740157483" header="0" footer="0"/>
  <pageSetup paperSize="9" scale="7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32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390625" defaultRowHeight="15" customHeight="1" x14ac:dyDescent="0.2"/>
  <cols>
    <col min="1" max="1" width="15.19921875" customWidth="1"/>
    <col min="2" max="2" width="31.4765625" customWidth="1"/>
    <col min="3" max="3" width="8.609375" customWidth="1"/>
    <col min="4" max="14" width="9.81640625" customWidth="1"/>
    <col min="15" max="19" width="6.72265625" hidden="1" customWidth="1"/>
    <col min="20" max="20" width="4.9765625" hidden="1" customWidth="1"/>
  </cols>
  <sheetData>
    <row r="1" spans="1:20" ht="13.5" customHeight="1" x14ac:dyDescent="0.2">
      <c r="A1" s="42" t="s">
        <v>45</v>
      </c>
      <c r="B1" s="43"/>
      <c r="C1" s="43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45"/>
      <c r="Q1" s="45"/>
      <c r="R1" s="45"/>
      <c r="S1" s="45"/>
      <c r="T1" s="42"/>
    </row>
    <row r="2" spans="1:20" ht="13.5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  <c r="P2" s="45"/>
      <c r="Q2" s="45"/>
      <c r="R2" s="45"/>
      <c r="S2" s="45"/>
      <c r="T2" s="42"/>
    </row>
    <row r="3" spans="1:20" ht="12" customHeight="1" x14ac:dyDescent="0.2">
      <c r="A3" s="42"/>
      <c r="B3" s="43"/>
      <c r="C3" s="43"/>
      <c r="D3" s="44"/>
      <c r="E3" s="44"/>
      <c r="F3" s="44"/>
      <c r="G3" s="44"/>
      <c r="H3" s="44"/>
      <c r="I3" s="44"/>
      <c r="J3" s="175"/>
      <c r="K3" s="176"/>
      <c r="L3" s="176"/>
      <c r="M3" s="44"/>
      <c r="N3" s="44"/>
      <c r="O3" s="45"/>
      <c r="P3" s="45"/>
      <c r="Q3" s="45"/>
      <c r="R3" s="45"/>
      <c r="S3" s="45"/>
      <c r="T3" s="42"/>
    </row>
    <row r="4" spans="1:20" ht="13.5" customHeight="1" x14ac:dyDescent="0.2">
      <c r="A4" s="46"/>
      <c r="B4" s="47"/>
      <c r="C4" s="47"/>
      <c r="D4" s="48"/>
      <c r="E4" s="48"/>
      <c r="F4" s="48"/>
      <c r="G4" s="48"/>
      <c r="H4" s="48"/>
      <c r="I4" s="48"/>
      <c r="J4" s="177" t="s">
        <v>46</v>
      </c>
      <c r="K4" s="178"/>
      <c r="L4" s="179"/>
      <c r="M4" s="48"/>
      <c r="N4" s="48"/>
      <c r="O4" s="49"/>
      <c r="P4" s="49"/>
      <c r="Q4" s="49"/>
      <c r="R4" s="49"/>
      <c r="S4" s="49"/>
      <c r="T4" s="46"/>
    </row>
    <row r="5" spans="1:20" ht="13.5" customHeight="1" x14ac:dyDescent="0.2">
      <c r="A5" s="50" t="s">
        <v>47</v>
      </c>
      <c r="B5" s="50" t="s">
        <v>48</v>
      </c>
      <c r="C5" s="50" t="s">
        <v>49</v>
      </c>
      <c r="D5" s="50" t="s">
        <v>3</v>
      </c>
      <c r="E5" s="50">
        <v>14</v>
      </c>
      <c r="F5" s="50">
        <v>21</v>
      </c>
      <c r="G5" s="50">
        <v>28</v>
      </c>
      <c r="H5" s="50">
        <v>35</v>
      </c>
      <c r="I5" s="50">
        <v>42</v>
      </c>
      <c r="J5" s="50">
        <v>49</v>
      </c>
      <c r="K5" s="50">
        <v>56</v>
      </c>
      <c r="L5" s="50">
        <v>60</v>
      </c>
      <c r="M5" s="50">
        <v>75</v>
      </c>
      <c r="N5" s="50">
        <v>90</v>
      </c>
      <c r="O5" s="51" t="s">
        <v>18</v>
      </c>
      <c r="P5" s="51" t="s">
        <v>25</v>
      </c>
      <c r="Q5" s="51" t="s">
        <v>41</v>
      </c>
      <c r="R5" s="51" t="s">
        <v>50</v>
      </c>
      <c r="S5" s="51" t="s">
        <v>42</v>
      </c>
      <c r="T5" s="52" t="s">
        <v>34</v>
      </c>
    </row>
    <row r="6" spans="1:20" ht="14.25" customHeight="1" x14ac:dyDescent="0.2">
      <c r="A6" s="53">
        <v>121</v>
      </c>
      <c r="B6" s="54" t="s">
        <v>51</v>
      </c>
      <c r="C6" s="54">
        <v>6</v>
      </c>
      <c r="D6" s="54">
        <v>17.690000000000001</v>
      </c>
      <c r="E6" s="54">
        <v>17.84</v>
      </c>
      <c r="F6" s="54">
        <v>17.920000000000002</v>
      </c>
      <c r="G6" s="54">
        <v>18</v>
      </c>
      <c r="H6" s="54">
        <v>18.07</v>
      </c>
      <c r="I6" s="54">
        <v>18.16</v>
      </c>
      <c r="J6" s="54">
        <v>18.23</v>
      </c>
      <c r="K6" s="54">
        <v>18.32</v>
      </c>
      <c r="L6" s="54">
        <v>18.36</v>
      </c>
      <c r="M6" s="54">
        <v>18.54</v>
      </c>
      <c r="N6" s="54">
        <v>18.71</v>
      </c>
      <c r="O6" s="55"/>
      <c r="P6" s="56"/>
      <c r="Q6" s="56"/>
      <c r="R6" s="56"/>
      <c r="S6" s="56"/>
      <c r="T6" s="57"/>
    </row>
    <row r="7" spans="1:20" ht="13.5" customHeight="1" x14ac:dyDescent="0.2">
      <c r="A7" s="53">
        <v>122</v>
      </c>
      <c r="B7" s="54" t="s">
        <v>52</v>
      </c>
      <c r="C7" s="54">
        <v>6</v>
      </c>
      <c r="D7" s="54">
        <v>25.91</v>
      </c>
      <c r="E7" s="54">
        <v>26.14</v>
      </c>
      <c r="F7" s="54">
        <v>26.25</v>
      </c>
      <c r="G7" s="54">
        <v>26.37</v>
      </c>
      <c r="H7" s="54">
        <v>26.49</v>
      </c>
      <c r="I7" s="54">
        <v>26.6</v>
      </c>
      <c r="J7" s="54">
        <v>26.72</v>
      </c>
      <c r="K7" s="54">
        <v>26.84</v>
      </c>
      <c r="L7" s="54">
        <v>26.9</v>
      </c>
      <c r="M7" s="54">
        <v>27.16</v>
      </c>
      <c r="N7" s="54">
        <v>27.41</v>
      </c>
      <c r="O7" s="55"/>
      <c r="P7" s="56"/>
      <c r="Q7" s="56"/>
      <c r="R7" s="56"/>
      <c r="S7" s="56"/>
      <c r="T7" s="57"/>
    </row>
    <row r="8" spans="1:20" ht="13.5" customHeight="1" x14ac:dyDescent="0.2">
      <c r="A8" s="53">
        <v>123</v>
      </c>
      <c r="B8" s="54" t="s">
        <v>53</v>
      </c>
      <c r="C8" s="54">
        <v>6</v>
      </c>
      <c r="D8" s="54">
        <v>43.73</v>
      </c>
      <c r="E8" s="54">
        <v>44.12</v>
      </c>
      <c r="F8" s="54">
        <v>44.31</v>
      </c>
      <c r="G8" s="54">
        <v>44.51</v>
      </c>
      <c r="H8" s="54">
        <v>44.71</v>
      </c>
      <c r="I8" s="54">
        <v>44.9</v>
      </c>
      <c r="J8" s="54">
        <v>45.1</v>
      </c>
      <c r="K8" s="54">
        <v>45.29</v>
      </c>
      <c r="L8" s="54">
        <v>45.41</v>
      </c>
      <c r="M8" s="54">
        <v>45.84</v>
      </c>
      <c r="N8" s="54">
        <v>46.27</v>
      </c>
      <c r="O8" s="55"/>
      <c r="P8" s="56"/>
      <c r="Q8" s="56"/>
      <c r="R8" s="56"/>
      <c r="S8" s="56"/>
      <c r="T8" s="57"/>
    </row>
    <row r="9" spans="1:20" ht="13.5" customHeight="1" x14ac:dyDescent="0.2">
      <c r="A9" s="53">
        <v>125</v>
      </c>
      <c r="B9" s="54" t="s">
        <v>54</v>
      </c>
      <c r="C9" s="54">
        <v>12</v>
      </c>
      <c r="D9" s="54">
        <v>6.49</v>
      </c>
      <c r="E9" s="54">
        <v>6.54</v>
      </c>
      <c r="F9" s="54">
        <v>6.57</v>
      </c>
      <c r="G9" s="54">
        <v>6.6</v>
      </c>
      <c r="H9" s="54">
        <v>6.62</v>
      </c>
      <c r="I9" s="54">
        <v>6.66</v>
      </c>
      <c r="J9" s="54">
        <v>6.69</v>
      </c>
      <c r="K9" s="54">
        <v>6.72</v>
      </c>
      <c r="L9" s="54">
        <v>6.73</v>
      </c>
      <c r="M9" s="54">
        <v>6.79</v>
      </c>
      <c r="N9" s="54">
        <v>6.86</v>
      </c>
      <c r="O9" s="55"/>
      <c r="P9" s="56"/>
      <c r="Q9" s="56"/>
      <c r="R9" s="56"/>
      <c r="S9" s="56"/>
      <c r="T9" s="57"/>
    </row>
    <row r="10" spans="1:20" ht="13.5" customHeight="1" x14ac:dyDescent="0.2">
      <c r="A10" s="53">
        <v>126</v>
      </c>
      <c r="B10" s="54" t="s">
        <v>55</v>
      </c>
      <c r="C10" s="54">
        <v>12</v>
      </c>
      <c r="D10" s="54">
        <v>9.1199999999999992</v>
      </c>
      <c r="E10" s="54">
        <v>9.1999999999999993</v>
      </c>
      <c r="F10" s="54">
        <v>9.23</v>
      </c>
      <c r="G10" s="54">
        <v>9.2799999999999994</v>
      </c>
      <c r="H10" s="54">
        <v>9.32</v>
      </c>
      <c r="I10" s="54">
        <v>9.36</v>
      </c>
      <c r="J10" s="54">
        <v>9.4</v>
      </c>
      <c r="K10" s="54">
        <v>9.4499999999999993</v>
      </c>
      <c r="L10" s="54">
        <v>9.4700000000000006</v>
      </c>
      <c r="M10" s="54">
        <v>9.5500000000000007</v>
      </c>
      <c r="N10" s="54">
        <v>9.65</v>
      </c>
      <c r="O10" s="55"/>
      <c r="P10" s="56"/>
      <c r="Q10" s="56"/>
      <c r="R10" s="56"/>
      <c r="S10" s="56"/>
      <c r="T10" s="57"/>
    </row>
    <row r="11" spans="1:20" ht="13.5" customHeight="1" x14ac:dyDescent="0.2">
      <c r="A11" s="53">
        <v>127</v>
      </c>
      <c r="B11" s="54" t="s">
        <v>56</v>
      </c>
      <c r="C11" s="54">
        <v>6</v>
      </c>
      <c r="D11" s="54">
        <v>17.75</v>
      </c>
      <c r="E11" s="54">
        <v>17.91</v>
      </c>
      <c r="F11" s="54">
        <v>17.989999999999998</v>
      </c>
      <c r="G11" s="54">
        <v>18.07</v>
      </c>
      <c r="H11" s="54">
        <v>18.149999999999999</v>
      </c>
      <c r="I11" s="54">
        <v>18.23</v>
      </c>
      <c r="J11" s="54">
        <v>18.309999999999999</v>
      </c>
      <c r="K11" s="54">
        <v>18.39</v>
      </c>
      <c r="L11" s="54">
        <v>18.440000000000001</v>
      </c>
      <c r="M11" s="54">
        <v>18.61</v>
      </c>
      <c r="N11" s="54">
        <v>18.79</v>
      </c>
      <c r="O11" s="55"/>
      <c r="P11" s="56"/>
      <c r="Q11" s="56"/>
      <c r="R11" s="56"/>
      <c r="S11" s="56"/>
      <c r="T11" s="57"/>
    </row>
    <row r="12" spans="1:20" ht="13.5" customHeight="1" x14ac:dyDescent="0.2">
      <c r="A12" s="53">
        <v>128</v>
      </c>
      <c r="B12" s="54" t="s">
        <v>57</v>
      </c>
      <c r="C12" s="54">
        <v>6</v>
      </c>
      <c r="D12" s="54">
        <v>27.29</v>
      </c>
      <c r="E12" s="54">
        <v>27.52</v>
      </c>
      <c r="F12" s="54">
        <v>27.65</v>
      </c>
      <c r="G12" s="54">
        <v>27.76</v>
      </c>
      <c r="H12" s="54">
        <v>27.89</v>
      </c>
      <c r="I12" s="54">
        <v>28.01</v>
      </c>
      <c r="J12" s="54">
        <v>28.14</v>
      </c>
      <c r="K12" s="54">
        <v>28.25</v>
      </c>
      <c r="L12" s="54">
        <v>28.33</v>
      </c>
      <c r="M12" s="54">
        <v>28.6</v>
      </c>
      <c r="N12" s="54">
        <v>28.87</v>
      </c>
      <c r="O12" s="55"/>
      <c r="P12" s="56"/>
      <c r="Q12" s="56"/>
      <c r="R12" s="56"/>
      <c r="S12" s="56"/>
      <c r="T12" s="57"/>
    </row>
    <row r="13" spans="1:20" ht="13.5" customHeight="1" x14ac:dyDescent="0.2">
      <c r="A13" s="53">
        <v>150</v>
      </c>
      <c r="B13" s="54" t="s">
        <v>58</v>
      </c>
      <c r="C13" s="54">
        <v>12</v>
      </c>
      <c r="D13" s="54">
        <v>3.9</v>
      </c>
      <c r="E13" s="54">
        <v>3.93</v>
      </c>
      <c r="F13" s="54">
        <v>3.94</v>
      </c>
      <c r="G13" s="54">
        <v>3.96</v>
      </c>
      <c r="H13" s="54">
        <v>3.98</v>
      </c>
      <c r="I13" s="54">
        <v>3.99</v>
      </c>
      <c r="J13" s="54">
        <v>4.0199999999999996</v>
      </c>
      <c r="K13" s="54">
        <v>4.04</v>
      </c>
      <c r="L13" s="54">
        <v>4.05</v>
      </c>
      <c r="M13" s="54">
        <v>4.08</v>
      </c>
      <c r="N13" s="54">
        <v>4.12</v>
      </c>
      <c r="O13" s="55"/>
      <c r="P13" s="56"/>
      <c r="Q13" s="56"/>
      <c r="R13" s="56"/>
      <c r="S13" s="56"/>
      <c r="T13" s="57"/>
    </row>
    <row r="14" spans="1:20" ht="13.5" customHeight="1" x14ac:dyDescent="0.2">
      <c r="A14" s="53">
        <v>160</v>
      </c>
      <c r="B14" s="54" t="s">
        <v>59</v>
      </c>
      <c r="C14" s="54">
        <v>12</v>
      </c>
      <c r="D14" s="54">
        <v>13.57</v>
      </c>
      <c r="E14" s="54">
        <v>13.7</v>
      </c>
      <c r="F14" s="54">
        <v>13.75</v>
      </c>
      <c r="G14" s="54">
        <v>13.81</v>
      </c>
      <c r="H14" s="54">
        <v>13.88</v>
      </c>
      <c r="I14" s="54">
        <v>13.93</v>
      </c>
      <c r="J14" s="54">
        <v>13.99</v>
      </c>
      <c r="K14" s="54">
        <v>14.06</v>
      </c>
      <c r="L14" s="54">
        <v>14.09</v>
      </c>
      <c r="M14" s="54">
        <v>14.23</v>
      </c>
      <c r="N14" s="54">
        <v>14.36</v>
      </c>
      <c r="O14" s="55"/>
      <c r="P14" s="56"/>
      <c r="Q14" s="56"/>
      <c r="R14" s="56"/>
      <c r="S14" s="56"/>
      <c r="T14" s="57"/>
    </row>
    <row r="15" spans="1:20" ht="13.5" customHeight="1" x14ac:dyDescent="0.2">
      <c r="A15" s="53" t="s">
        <v>60</v>
      </c>
      <c r="B15" s="54" t="s">
        <v>61</v>
      </c>
      <c r="C15" s="54">
        <v>12</v>
      </c>
      <c r="D15" s="54">
        <v>11.64</v>
      </c>
      <c r="E15" s="54">
        <v>11.75</v>
      </c>
      <c r="F15" s="54">
        <v>11.79</v>
      </c>
      <c r="G15" s="54">
        <v>11.84</v>
      </c>
      <c r="H15" s="54">
        <v>11.9</v>
      </c>
      <c r="I15" s="54">
        <v>11.95</v>
      </c>
      <c r="J15" s="54">
        <v>12</v>
      </c>
      <c r="K15" s="54">
        <v>12.06</v>
      </c>
      <c r="L15" s="54">
        <v>12.09</v>
      </c>
      <c r="M15" s="54">
        <v>12.2</v>
      </c>
      <c r="N15" s="54">
        <v>12.31</v>
      </c>
      <c r="O15" s="55"/>
      <c r="P15" s="56"/>
      <c r="Q15" s="56"/>
      <c r="R15" s="56"/>
      <c r="S15" s="56"/>
      <c r="T15" s="57"/>
    </row>
    <row r="16" spans="1:20" ht="13.5" customHeight="1" x14ac:dyDescent="0.2">
      <c r="A16" s="53">
        <v>162</v>
      </c>
      <c r="B16" s="54" t="s">
        <v>62</v>
      </c>
      <c r="C16" s="54">
        <v>6</v>
      </c>
      <c r="D16" s="54">
        <v>25.98</v>
      </c>
      <c r="E16" s="54">
        <v>26.21</v>
      </c>
      <c r="F16" s="54">
        <v>26.33</v>
      </c>
      <c r="G16" s="54">
        <v>26.44</v>
      </c>
      <c r="H16" s="54">
        <v>26.56</v>
      </c>
      <c r="I16" s="54">
        <v>26.68</v>
      </c>
      <c r="J16" s="54">
        <v>26.8</v>
      </c>
      <c r="K16" s="54">
        <v>26.91</v>
      </c>
      <c r="L16" s="54">
        <v>26.98</v>
      </c>
      <c r="M16" s="54">
        <v>27.23</v>
      </c>
      <c r="N16" s="54">
        <v>27.49</v>
      </c>
      <c r="O16" s="55"/>
      <c r="P16" s="56"/>
      <c r="Q16" s="56"/>
      <c r="R16" s="56"/>
      <c r="S16" s="56"/>
      <c r="T16" s="57"/>
    </row>
    <row r="17" spans="1:20" ht="13.5" customHeight="1" x14ac:dyDescent="0.2">
      <c r="A17" s="53">
        <v>163</v>
      </c>
      <c r="B17" s="54" t="s">
        <v>63</v>
      </c>
      <c r="C17" s="54">
        <v>12</v>
      </c>
      <c r="D17" s="54">
        <v>15.74</v>
      </c>
      <c r="E17" s="54">
        <v>15.88</v>
      </c>
      <c r="F17" s="54">
        <v>15.94</v>
      </c>
      <c r="G17" s="54">
        <v>16.02</v>
      </c>
      <c r="H17" s="54">
        <v>16.09</v>
      </c>
      <c r="I17" s="54">
        <v>16.16</v>
      </c>
      <c r="J17" s="54">
        <v>16.23</v>
      </c>
      <c r="K17" s="54">
        <v>16.309999999999999</v>
      </c>
      <c r="L17" s="54">
        <v>16.350000000000001</v>
      </c>
      <c r="M17" s="54">
        <v>16.5</v>
      </c>
      <c r="N17" s="54">
        <v>16.66</v>
      </c>
      <c r="O17" s="55"/>
      <c r="P17" s="56"/>
      <c r="Q17" s="56"/>
      <c r="R17" s="56"/>
      <c r="S17" s="56"/>
      <c r="T17" s="57"/>
    </row>
    <row r="18" spans="1:20" ht="13.5" customHeight="1" x14ac:dyDescent="0.2">
      <c r="A18" s="53" t="s">
        <v>64</v>
      </c>
      <c r="B18" s="54" t="s">
        <v>65</v>
      </c>
      <c r="C18" s="54">
        <v>12</v>
      </c>
      <c r="D18" s="54">
        <v>12.27</v>
      </c>
      <c r="E18" s="54">
        <v>12.38</v>
      </c>
      <c r="F18" s="54">
        <v>12.43</v>
      </c>
      <c r="G18" s="54">
        <v>12.49</v>
      </c>
      <c r="H18" s="54">
        <v>12.55</v>
      </c>
      <c r="I18" s="54">
        <v>12.6</v>
      </c>
      <c r="J18" s="54">
        <v>12.65</v>
      </c>
      <c r="K18" s="54">
        <v>12.71</v>
      </c>
      <c r="L18" s="54">
        <v>12.74</v>
      </c>
      <c r="M18" s="54">
        <v>12.87</v>
      </c>
      <c r="N18" s="54">
        <v>12.98</v>
      </c>
      <c r="O18" s="55"/>
      <c r="P18" s="56"/>
      <c r="Q18" s="56"/>
      <c r="R18" s="56"/>
      <c r="S18" s="56"/>
      <c r="T18" s="57"/>
    </row>
    <row r="19" spans="1:20" ht="13.5" customHeight="1" x14ac:dyDescent="0.2">
      <c r="A19" s="53">
        <v>164</v>
      </c>
      <c r="B19" s="54" t="s">
        <v>66</v>
      </c>
      <c r="C19" s="54">
        <v>4</v>
      </c>
      <c r="D19" s="54">
        <v>136.96</v>
      </c>
      <c r="E19" s="54">
        <v>138.16999999999999</v>
      </c>
      <c r="F19" s="54">
        <v>138.78</v>
      </c>
      <c r="G19" s="54">
        <v>139.38999999999999</v>
      </c>
      <c r="H19" s="54">
        <v>140</v>
      </c>
      <c r="I19" s="54">
        <v>140.62</v>
      </c>
      <c r="J19" s="54">
        <v>141.24</v>
      </c>
      <c r="K19" s="54">
        <v>141.86000000000001</v>
      </c>
      <c r="L19" s="54">
        <v>142.21</v>
      </c>
      <c r="M19" s="54">
        <v>143.56</v>
      </c>
      <c r="N19" s="54">
        <v>144.91</v>
      </c>
      <c r="O19" s="55"/>
      <c r="P19" s="56"/>
      <c r="Q19" s="56"/>
      <c r="R19" s="56"/>
      <c r="S19" s="56"/>
      <c r="T19" s="57"/>
    </row>
    <row r="20" spans="1:20" ht="13.5" customHeight="1" x14ac:dyDescent="0.2">
      <c r="A20" s="53" t="s">
        <v>67</v>
      </c>
      <c r="B20" s="54" t="s">
        <v>68</v>
      </c>
      <c r="C20" s="54">
        <v>4</v>
      </c>
      <c r="D20" s="54">
        <v>171.37</v>
      </c>
      <c r="E20" s="54">
        <v>172.88</v>
      </c>
      <c r="F20" s="54">
        <v>173.65</v>
      </c>
      <c r="G20" s="54">
        <v>174.4</v>
      </c>
      <c r="H20" s="54">
        <v>175.18</v>
      </c>
      <c r="I20" s="54">
        <v>175.95</v>
      </c>
      <c r="J20" s="54">
        <v>176.73</v>
      </c>
      <c r="K20" s="54">
        <v>177.5</v>
      </c>
      <c r="L20" s="54">
        <v>177.95</v>
      </c>
      <c r="M20" s="54">
        <v>179.63</v>
      </c>
      <c r="N20" s="54">
        <v>181.33</v>
      </c>
      <c r="O20" s="55"/>
      <c r="P20" s="56"/>
      <c r="Q20" s="56"/>
      <c r="R20" s="56"/>
      <c r="S20" s="56"/>
      <c r="T20" s="57"/>
    </row>
    <row r="21" spans="1:20" ht="13.5" customHeight="1" x14ac:dyDescent="0.2">
      <c r="A21" s="53" t="s">
        <v>69</v>
      </c>
      <c r="B21" s="54" t="s">
        <v>70</v>
      </c>
      <c r="C21" s="54">
        <v>4</v>
      </c>
      <c r="D21" s="54">
        <v>171.37</v>
      </c>
      <c r="E21" s="54">
        <v>172.88</v>
      </c>
      <c r="F21" s="54">
        <v>173.65</v>
      </c>
      <c r="G21" s="54">
        <v>174.4</v>
      </c>
      <c r="H21" s="54">
        <v>175.18</v>
      </c>
      <c r="I21" s="54">
        <v>175.95</v>
      </c>
      <c r="J21" s="54">
        <v>176.73</v>
      </c>
      <c r="K21" s="54">
        <v>177.5</v>
      </c>
      <c r="L21" s="54">
        <v>177.95</v>
      </c>
      <c r="M21" s="54">
        <v>179.63</v>
      </c>
      <c r="N21" s="54">
        <v>181.33</v>
      </c>
      <c r="O21" s="55"/>
      <c r="P21" s="56"/>
      <c r="Q21" s="56"/>
      <c r="R21" s="56"/>
      <c r="S21" s="56"/>
      <c r="T21" s="57"/>
    </row>
    <row r="22" spans="1:20" ht="13.5" customHeight="1" x14ac:dyDescent="0.2">
      <c r="A22" s="53" t="s">
        <v>71</v>
      </c>
      <c r="B22" s="54" t="s">
        <v>72</v>
      </c>
      <c r="C22" s="54">
        <v>4</v>
      </c>
      <c r="D22" s="54">
        <v>109.55</v>
      </c>
      <c r="E22" s="54">
        <v>110.5</v>
      </c>
      <c r="F22" s="54">
        <v>110.99</v>
      </c>
      <c r="G22" s="54">
        <v>111.48</v>
      </c>
      <c r="H22" s="54">
        <v>111.97</v>
      </c>
      <c r="I22" s="54">
        <v>112.46</v>
      </c>
      <c r="J22" s="54">
        <v>112.96</v>
      </c>
      <c r="K22" s="54">
        <v>113.45</v>
      </c>
      <c r="L22" s="54">
        <v>113.74</v>
      </c>
      <c r="M22" s="54">
        <v>114.82</v>
      </c>
      <c r="N22" s="54">
        <v>115.9</v>
      </c>
      <c r="O22" s="55"/>
      <c r="P22" s="56"/>
      <c r="Q22" s="56"/>
      <c r="R22" s="56"/>
      <c r="S22" s="56"/>
      <c r="T22" s="57"/>
    </row>
    <row r="23" spans="1:20" ht="13.5" customHeight="1" x14ac:dyDescent="0.2">
      <c r="A23" s="53" t="s">
        <v>73</v>
      </c>
      <c r="B23" s="54" t="s">
        <v>74</v>
      </c>
      <c r="C23" s="54">
        <v>4</v>
      </c>
      <c r="D23" s="54">
        <v>171.37</v>
      </c>
      <c r="E23" s="54">
        <v>172.88</v>
      </c>
      <c r="F23" s="54">
        <v>173.65</v>
      </c>
      <c r="G23" s="54">
        <v>174.4</v>
      </c>
      <c r="H23" s="54">
        <v>175.18</v>
      </c>
      <c r="I23" s="54">
        <v>175.95</v>
      </c>
      <c r="J23" s="54">
        <v>176.73</v>
      </c>
      <c r="K23" s="54">
        <v>177.5</v>
      </c>
      <c r="L23" s="54">
        <v>177.95</v>
      </c>
      <c r="M23" s="54">
        <v>179.63</v>
      </c>
      <c r="N23" s="54">
        <v>181.33</v>
      </c>
      <c r="O23" s="55"/>
      <c r="P23" s="56"/>
      <c r="Q23" s="56"/>
      <c r="R23" s="56"/>
      <c r="S23" s="56"/>
      <c r="T23" s="57"/>
    </row>
    <row r="24" spans="1:20" ht="13.5" customHeight="1" x14ac:dyDescent="0.2">
      <c r="A24" s="53" t="s">
        <v>75</v>
      </c>
      <c r="B24" s="54" t="s">
        <v>76</v>
      </c>
      <c r="C24" s="54">
        <v>4</v>
      </c>
      <c r="D24" s="54">
        <v>171.37</v>
      </c>
      <c r="E24" s="54">
        <v>172.88</v>
      </c>
      <c r="F24" s="54">
        <v>173.65</v>
      </c>
      <c r="G24" s="54">
        <v>174.4</v>
      </c>
      <c r="H24" s="54">
        <v>175.18</v>
      </c>
      <c r="I24" s="54">
        <v>175.95</v>
      </c>
      <c r="J24" s="54">
        <v>176.73</v>
      </c>
      <c r="K24" s="54">
        <v>177.5</v>
      </c>
      <c r="L24" s="54">
        <v>177.95</v>
      </c>
      <c r="M24" s="54">
        <v>179.63</v>
      </c>
      <c r="N24" s="54">
        <v>181.33</v>
      </c>
      <c r="O24" s="55"/>
      <c r="P24" s="56"/>
      <c r="Q24" s="56"/>
      <c r="R24" s="56"/>
      <c r="S24" s="56"/>
      <c r="T24" s="57"/>
    </row>
    <row r="25" spans="1:20" ht="13.5" customHeight="1" x14ac:dyDescent="0.2">
      <c r="A25" s="53">
        <v>167</v>
      </c>
      <c r="B25" s="54" t="s">
        <v>77</v>
      </c>
      <c r="C25" s="54">
        <v>6</v>
      </c>
      <c r="D25" s="54">
        <v>24.54</v>
      </c>
      <c r="E25" s="54">
        <v>24.76</v>
      </c>
      <c r="F25" s="54">
        <v>24.87</v>
      </c>
      <c r="G25" s="54">
        <v>24.97</v>
      </c>
      <c r="H25" s="54">
        <v>25.08</v>
      </c>
      <c r="I25" s="54">
        <v>25.2</v>
      </c>
      <c r="J25" s="54">
        <v>25.3</v>
      </c>
      <c r="K25" s="54">
        <v>25.42</v>
      </c>
      <c r="L25" s="54">
        <v>25.49</v>
      </c>
      <c r="M25" s="54">
        <v>25.72</v>
      </c>
      <c r="N25" s="54">
        <v>25.96</v>
      </c>
      <c r="O25" s="55"/>
      <c r="P25" s="56"/>
      <c r="Q25" s="56"/>
      <c r="R25" s="56"/>
      <c r="S25" s="56"/>
      <c r="T25" s="57"/>
    </row>
    <row r="26" spans="1:20" ht="13.5" customHeight="1" x14ac:dyDescent="0.2">
      <c r="A26" s="53" t="s">
        <v>78</v>
      </c>
      <c r="B26" s="54" t="s">
        <v>77</v>
      </c>
      <c r="C26" s="54">
        <v>6</v>
      </c>
      <c r="D26" s="54">
        <v>17.690000000000001</v>
      </c>
      <c r="E26" s="54">
        <v>17.84</v>
      </c>
      <c r="F26" s="54">
        <v>17.920000000000002</v>
      </c>
      <c r="G26" s="54">
        <v>18</v>
      </c>
      <c r="H26" s="54">
        <v>18.07</v>
      </c>
      <c r="I26" s="54">
        <v>18.16</v>
      </c>
      <c r="J26" s="54">
        <v>18.23</v>
      </c>
      <c r="K26" s="54">
        <v>18.32</v>
      </c>
      <c r="L26" s="54">
        <v>18.36</v>
      </c>
      <c r="M26" s="54">
        <v>18.54</v>
      </c>
      <c r="N26" s="54">
        <v>18.71</v>
      </c>
      <c r="O26" s="55"/>
      <c r="P26" s="56"/>
      <c r="Q26" s="56"/>
      <c r="R26" s="56"/>
      <c r="S26" s="56"/>
      <c r="T26" s="57"/>
    </row>
    <row r="27" spans="1:20" ht="13.5" customHeight="1" x14ac:dyDescent="0.2">
      <c r="A27" s="53">
        <v>168</v>
      </c>
      <c r="B27" s="54" t="s">
        <v>79</v>
      </c>
      <c r="C27" s="54">
        <v>6</v>
      </c>
      <c r="D27" s="54">
        <v>27.29</v>
      </c>
      <c r="E27" s="54">
        <v>27.52</v>
      </c>
      <c r="F27" s="54">
        <v>27.65</v>
      </c>
      <c r="G27" s="54">
        <v>27.76</v>
      </c>
      <c r="H27" s="54">
        <v>27.89</v>
      </c>
      <c r="I27" s="54">
        <v>28.01</v>
      </c>
      <c r="J27" s="54">
        <v>28.14</v>
      </c>
      <c r="K27" s="54">
        <v>28.25</v>
      </c>
      <c r="L27" s="54">
        <v>28.33</v>
      </c>
      <c r="M27" s="54">
        <v>28.6</v>
      </c>
      <c r="N27" s="54">
        <v>28.87</v>
      </c>
      <c r="O27" s="55"/>
      <c r="P27" s="56"/>
      <c r="Q27" s="56"/>
      <c r="R27" s="56"/>
      <c r="S27" s="56"/>
      <c r="T27" s="57"/>
    </row>
    <row r="28" spans="1:20" ht="13.5" customHeight="1" x14ac:dyDescent="0.2">
      <c r="A28" s="53">
        <v>170</v>
      </c>
      <c r="B28" s="54" t="s">
        <v>80</v>
      </c>
      <c r="C28" s="54">
        <v>6</v>
      </c>
      <c r="D28" s="54">
        <v>12.2</v>
      </c>
      <c r="E28" s="54">
        <v>12.31</v>
      </c>
      <c r="F28" s="54">
        <v>12.36</v>
      </c>
      <c r="G28" s="54">
        <v>12.42</v>
      </c>
      <c r="H28" s="54">
        <v>12.47</v>
      </c>
      <c r="I28" s="54">
        <v>12.52</v>
      </c>
      <c r="J28" s="54">
        <v>12.58</v>
      </c>
      <c r="K28" s="54">
        <v>12.64</v>
      </c>
      <c r="L28" s="54">
        <v>12.67</v>
      </c>
      <c r="M28" s="54">
        <v>12.79</v>
      </c>
      <c r="N28" s="54">
        <v>12.91</v>
      </c>
      <c r="O28" s="55"/>
      <c r="P28" s="56"/>
      <c r="Q28" s="56"/>
      <c r="R28" s="56"/>
      <c r="S28" s="56"/>
      <c r="T28" s="57"/>
    </row>
    <row r="29" spans="1:20" ht="13.5" customHeight="1" x14ac:dyDescent="0.2">
      <c r="A29" s="53">
        <v>171</v>
      </c>
      <c r="B29" s="54" t="s">
        <v>81</v>
      </c>
      <c r="C29" s="54">
        <v>12</v>
      </c>
      <c r="D29" s="54">
        <v>9.0299999999999994</v>
      </c>
      <c r="E29" s="54">
        <v>9.1199999999999992</v>
      </c>
      <c r="F29" s="54">
        <v>9.16</v>
      </c>
      <c r="G29" s="54">
        <v>9.19</v>
      </c>
      <c r="H29" s="54">
        <v>9.23</v>
      </c>
      <c r="I29" s="54">
        <v>9.2799999999999994</v>
      </c>
      <c r="J29" s="54">
        <v>9.32</v>
      </c>
      <c r="K29" s="54">
        <v>9.36</v>
      </c>
      <c r="L29" s="54">
        <v>9.3800000000000008</v>
      </c>
      <c r="M29" s="54">
        <v>9.4700000000000006</v>
      </c>
      <c r="N29" s="54">
        <v>9.56</v>
      </c>
      <c r="O29" s="55"/>
      <c r="P29" s="56"/>
      <c r="Q29" s="56"/>
      <c r="R29" s="56"/>
      <c r="S29" s="56"/>
      <c r="T29" s="57"/>
    </row>
    <row r="30" spans="1:20" ht="13.5" customHeight="1" x14ac:dyDescent="0.2">
      <c r="A30" s="53">
        <v>173</v>
      </c>
      <c r="B30" s="54" t="s">
        <v>82</v>
      </c>
      <c r="C30" s="54">
        <v>12</v>
      </c>
      <c r="D30" s="54">
        <v>6.84</v>
      </c>
      <c r="E30" s="54">
        <v>6.9</v>
      </c>
      <c r="F30" s="54">
        <v>6.93</v>
      </c>
      <c r="G30" s="54">
        <v>6.97</v>
      </c>
      <c r="H30" s="54">
        <v>7</v>
      </c>
      <c r="I30" s="54">
        <v>7.03</v>
      </c>
      <c r="J30" s="54">
        <v>7.05</v>
      </c>
      <c r="K30" s="54">
        <v>7.08</v>
      </c>
      <c r="L30" s="54">
        <v>7.1</v>
      </c>
      <c r="M30" s="54">
        <v>7.17</v>
      </c>
      <c r="N30" s="54">
        <v>7.24</v>
      </c>
      <c r="O30" s="55"/>
      <c r="P30" s="56"/>
      <c r="Q30" s="56"/>
      <c r="R30" s="56"/>
      <c r="S30" s="56"/>
      <c r="T30" s="57"/>
    </row>
    <row r="31" spans="1:20" ht="13.5" customHeight="1" x14ac:dyDescent="0.2">
      <c r="A31" s="53">
        <v>175</v>
      </c>
      <c r="B31" s="54" t="s">
        <v>83</v>
      </c>
      <c r="C31" s="54">
        <v>4</v>
      </c>
      <c r="D31" s="54">
        <v>54.7</v>
      </c>
      <c r="E31" s="54">
        <v>55.19</v>
      </c>
      <c r="F31" s="54">
        <v>55.42</v>
      </c>
      <c r="G31" s="54">
        <v>55.67</v>
      </c>
      <c r="H31" s="54">
        <v>55.91</v>
      </c>
      <c r="I31" s="54">
        <v>56.16</v>
      </c>
      <c r="J31" s="54">
        <v>56.41</v>
      </c>
      <c r="K31" s="54">
        <v>56.66</v>
      </c>
      <c r="L31" s="54">
        <v>56.8</v>
      </c>
      <c r="M31" s="54">
        <v>57.34</v>
      </c>
      <c r="N31" s="54">
        <v>57.88</v>
      </c>
      <c r="O31" s="55"/>
      <c r="P31" s="56"/>
      <c r="Q31" s="56"/>
      <c r="R31" s="56"/>
      <c r="S31" s="56"/>
      <c r="T31" s="57"/>
    </row>
    <row r="32" spans="1:20" ht="13.5" customHeight="1" x14ac:dyDescent="0.2">
      <c r="A32" s="53">
        <v>177</v>
      </c>
      <c r="B32" s="54" t="s">
        <v>84</v>
      </c>
      <c r="C32" s="54">
        <v>4</v>
      </c>
      <c r="D32" s="54">
        <v>75.400000000000006</v>
      </c>
      <c r="E32" s="54">
        <v>76.069999999999993</v>
      </c>
      <c r="F32" s="54">
        <v>76.400000000000006</v>
      </c>
      <c r="G32" s="54">
        <v>76.739999999999995</v>
      </c>
      <c r="H32" s="54">
        <v>77.069999999999993</v>
      </c>
      <c r="I32" s="54">
        <v>77.41</v>
      </c>
      <c r="J32" s="54">
        <v>77.760000000000005</v>
      </c>
      <c r="K32" s="54">
        <v>78.099999999999994</v>
      </c>
      <c r="L32" s="54">
        <v>78.3</v>
      </c>
      <c r="M32" s="54">
        <v>79.03</v>
      </c>
      <c r="N32" s="54">
        <v>79.78</v>
      </c>
      <c r="O32" s="55"/>
      <c r="P32" s="56"/>
      <c r="Q32" s="56"/>
      <c r="R32" s="56"/>
      <c r="S32" s="56"/>
      <c r="T32" s="57"/>
    </row>
    <row r="33" spans="1:20" ht="13.5" customHeight="1" x14ac:dyDescent="0.2">
      <c r="A33" s="53">
        <v>179</v>
      </c>
      <c r="B33" s="54" t="s">
        <v>85</v>
      </c>
      <c r="C33" s="54">
        <v>6</v>
      </c>
      <c r="D33" s="54">
        <v>27.29</v>
      </c>
      <c r="E33" s="54">
        <v>27.52</v>
      </c>
      <c r="F33" s="54">
        <v>27.65</v>
      </c>
      <c r="G33" s="54">
        <v>27.76</v>
      </c>
      <c r="H33" s="54">
        <v>27.89</v>
      </c>
      <c r="I33" s="54">
        <v>28.01</v>
      </c>
      <c r="J33" s="54">
        <v>28.14</v>
      </c>
      <c r="K33" s="54">
        <v>28.25</v>
      </c>
      <c r="L33" s="54">
        <v>28.33</v>
      </c>
      <c r="M33" s="54">
        <v>28.6</v>
      </c>
      <c r="N33" s="54">
        <v>28.87</v>
      </c>
      <c r="O33" s="55"/>
      <c r="P33" s="56"/>
      <c r="Q33" s="56"/>
      <c r="R33" s="56"/>
      <c r="S33" s="56"/>
      <c r="T33" s="57"/>
    </row>
    <row r="34" spans="1:20" ht="13.5" customHeight="1" x14ac:dyDescent="0.2">
      <c r="A34" s="53">
        <v>182</v>
      </c>
      <c r="B34" s="54" t="s">
        <v>86</v>
      </c>
      <c r="C34" s="54">
        <v>6</v>
      </c>
      <c r="D34" s="54">
        <v>35.51</v>
      </c>
      <c r="E34" s="54">
        <v>35.83</v>
      </c>
      <c r="F34" s="54">
        <v>35.979999999999997</v>
      </c>
      <c r="G34" s="54">
        <v>36.14</v>
      </c>
      <c r="H34" s="54">
        <v>36.299999999999997</v>
      </c>
      <c r="I34" s="54">
        <v>36.450000000000003</v>
      </c>
      <c r="J34" s="54">
        <v>36.61</v>
      </c>
      <c r="K34" s="54">
        <v>36.770000000000003</v>
      </c>
      <c r="L34" s="54">
        <v>36.869999999999997</v>
      </c>
      <c r="M34" s="54">
        <v>37.22</v>
      </c>
      <c r="N34" s="54">
        <v>37.57</v>
      </c>
      <c r="O34" s="55"/>
      <c r="P34" s="56"/>
      <c r="Q34" s="56"/>
      <c r="R34" s="56"/>
      <c r="S34" s="56"/>
      <c r="T34" s="57"/>
    </row>
    <row r="35" spans="1:20" ht="13.5" customHeight="1" x14ac:dyDescent="0.2">
      <c r="A35" s="53">
        <v>183</v>
      </c>
      <c r="B35" s="54" t="s">
        <v>87</v>
      </c>
      <c r="C35" s="54">
        <v>6</v>
      </c>
      <c r="D35" s="54">
        <v>24.54</v>
      </c>
      <c r="E35" s="54">
        <v>24.76</v>
      </c>
      <c r="F35" s="54">
        <v>24.87</v>
      </c>
      <c r="G35" s="54">
        <v>24.97</v>
      </c>
      <c r="H35" s="54">
        <v>25.08</v>
      </c>
      <c r="I35" s="54">
        <v>25.2</v>
      </c>
      <c r="J35" s="54">
        <v>25.3</v>
      </c>
      <c r="K35" s="54">
        <v>25.42</v>
      </c>
      <c r="L35" s="54">
        <v>25.49</v>
      </c>
      <c r="M35" s="54">
        <v>25.72</v>
      </c>
      <c r="N35" s="54">
        <v>25.96</v>
      </c>
      <c r="O35" s="55"/>
      <c r="P35" s="56"/>
      <c r="Q35" s="56"/>
      <c r="R35" s="56"/>
      <c r="S35" s="56"/>
      <c r="T35" s="57"/>
    </row>
    <row r="36" spans="1:20" ht="13.5" customHeight="1" x14ac:dyDescent="0.2">
      <c r="A36" s="53">
        <v>187</v>
      </c>
      <c r="B36" s="54" t="s">
        <v>88</v>
      </c>
      <c r="C36" s="54">
        <v>12</v>
      </c>
      <c r="D36" s="54">
        <v>8.91</v>
      </c>
      <c r="E36" s="54">
        <v>8.99</v>
      </c>
      <c r="F36" s="54">
        <v>9.0299999999999994</v>
      </c>
      <c r="G36" s="54">
        <v>9.07</v>
      </c>
      <c r="H36" s="54">
        <v>9.11</v>
      </c>
      <c r="I36" s="54">
        <v>9.15</v>
      </c>
      <c r="J36" s="54">
        <v>9.19</v>
      </c>
      <c r="K36" s="54">
        <v>9.23</v>
      </c>
      <c r="L36" s="54">
        <v>9.25</v>
      </c>
      <c r="M36" s="54">
        <v>9.34</v>
      </c>
      <c r="N36" s="54">
        <v>9.43</v>
      </c>
      <c r="O36" s="55"/>
      <c r="P36" s="56"/>
      <c r="Q36" s="56"/>
      <c r="R36" s="56"/>
      <c r="S36" s="56"/>
      <c r="T36" s="57"/>
    </row>
    <row r="37" spans="1:20" ht="13.5" customHeight="1" x14ac:dyDescent="0.2">
      <c r="A37" s="53">
        <v>189</v>
      </c>
      <c r="B37" s="54" t="s">
        <v>89</v>
      </c>
      <c r="C37" s="54">
        <v>9</v>
      </c>
      <c r="D37" s="54">
        <v>15.02</v>
      </c>
      <c r="E37" s="54">
        <v>15.14</v>
      </c>
      <c r="F37" s="54">
        <v>15.21</v>
      </c>
      <c r="G37" s="54">
        <v>15.28</v>
      </c>
      <c r="H37" s="54">
        <v>15.35</v>
      </c>
      <c r="I37" s="54">
        <v>15.41</v>
      </c>
      <c r="J37" s="54">
        <v>15.49</v>
      </c>
      <c r="K37" s="54">
        <v>15.55</v>
      </c>
      <c r="L37" s="54">
        <v>15.59</v>
      </c>
      <c r="M37" s="54">
        <v>15.74</v>
      </c>
      <c r="N37" s="54">
        <v>15.88</v>
      </c>
      <c r="O37" s="55"/>
      <c r="P37" s="56"/>
      <c r="Q37" s="56"/>
      <c r="R37" s="56"/>
      <c r="S37" s="56"/>
      <c r="T37" s="57"/>
    </row>
    <row r="38" spans="1:20" ht="13.5" customHeight="1" x14ac:dyDescent="0.2">
      <c r="A38" s="53">
        <v>191</v>
      </c>
      <c r="B38" s="54" t="s">
        <v>90</v>
      </c>
      <c r="C38" s="54">
        <v>12</v>
      </c>
      <c r="D38" s="54">
        <v>5.0599999999999996</v>
      </c>
      <c r="E38" s="54">
        <v>5.0999999999999996</v>
      </c>
      <c r="F38" s="54">
        <v>5.12</v>
      </c>
      <c r="G38" s="54">
        <v>5.14</v>
      </c>
      <c r="H38" s="54">
        <v>5.18</v>
      </c>
      <c r="I38" s="54">
        <v>5.2</v>
      </c>
      <c r="J38" s="54">
        <v>5.22</v>
      </c>
      <c r="K38" s="54">
        <v>5.24</v>
      </c>
      <c r="L38" s="54">
        <v>5.25</v>
      </c>
      <c r="M38" s="54">
        <v>5.3</v>
      </c>
      <c r="N38" s="54">
        <v>5.36</v>
      </c>
      <c r="O38" s="55"/>
      <c r="P38" s="56"/>
      <c r="Q38" s="56"/>
      <c r="R38" s="56"/>
      <c r="S38" s="56"/>
      <c r="T38" s="57"/>
    </row>
    <row r="39" spans="1:20" ht="13.5" customHeight="1" x14ac:dyDescent="0.2">
      <c r="A39" s="53">
        <v>192</v>
      </c>
      <c r="B39" s="54" t="s">
        <v>91</v>
      </c>
      <c r="C39" s="54">
        <v>12</v>
      </c>
      <c r="D39" s="54">
        <v>5.45</v>
      </c>
      <c r="E39" s="54">
        <v>5.51</v>
      </c>
      <c r="F39" s="54">
        <v>5.53</v>
      </c>
      <c r="G39" s="54">
        <v>5.55</v>
      </c>
      <c r="H39" s="54">
        <v>5.58</v>
      </c>
      <c r="I39" s="54">
        <v>5.6</v>
      </c>
      <c r="J39" s="54">
        <v>5.62</v>
      </c>
      <c r="K39" s="54">
        <v>5.66</v>
      </c>
      <c r="L39" s="54">
        <v>5.67</v>
      </c>
      <c r="M39" s="54">
        <v>5.72</v>
      </c>
      <c r="N39" s="54">
        <v>5.77</v>
      </c>
      <c r="O39" s="55"/>
      <c r="P39" s="56"/>
      <c r="Q39" s="56"/>
      <c r="R39" s="56"/>
      <c r="S39" s="56"/>
      <c r="T39" s="57"/>
    </row>
    <row r="40" spans="1:20" ht="13.5" customHeight="1" x14ac:dyDescent="0.2">
      <c r="A40" s="53">
        <v>193</v>
      </c>
      <c r="B40" s="54" t="s">
        <v>92</v>
      </c>
      <c r="C40" s="54">
        <v>12</v>
      </c>
      <c r="D40" s="54">
        <v>8.91</v>
      </c>
      <c r="E40" s="54">
        <v>8.99</v>
      </c>
      <c r="F40" s="54">
        <v>9.0299999999999994</v>
      </c>
      <c r="G40" s="54">
        <v>9.07</v>
      </c>
      <c r="H40" s="54">
        <v>9.11</v>
      </c>
      <c r="I40" s="54">
        <v>9.15</v>
      </c>
      <c r="J40" s="54">
        <v>9.19</v>
      </c>
      <c r="K40" s="54">
        <v>9.23</v>
      </c>
      <c r="L40" s="54">
        <v>9.25</v>
      </c>
      <c r="M40" s="54">
        <v>9.34</v>
      </c>
      <c r="N40" s="54">
        <v>9.43</v>
      </c>
      <c r="O40" s="55"/>
      <c r="P40" s="56"/>
      <c r="Q40" s="56"/>
      <c r="R40" s="56"/>
      <c r="S40" s="56"/>
      <c r="T40" s="57"/>
    </row>
    <row r="41" spans="1:20" ht="13.5" customHeight="1" x14ac:dyDescent="0.2">
      <c r="A41" s="53">
        <v>194</v>
      </c>
      <c r="B41" s="54" t="s">
        <v>93</v>
      </c>
      <c r="C41" s="54">
        <v>6</v>
      </c>
      <c r="D41" s="54">
        <v>25.98</v>
      </c>
      <c r="E41" s="54">
        <v>26.21</v>
      </c>
      <c r="F41" s="54">
        <v>26.33</v>
      </c>
      <c r="G41" s="54">
        <v>26.44</v>
      </c>
      <c r="H41" s="54">
        <v>26.56</v>
      </c>
      <c r="I41" s="54">
        <v>26.68</v>
      </c>
      <c r="J41" s="54">
        <v>26.8</v>
      </c>
      <c r="K41" s="54">
        <v>26.91</v>
      </c>
      <c r="L41" s="54">
        <v>26.98</v>
      </c>
      <c r="M41" s="54">
        <v>27.23</v>
      </c>
      <c r="N41" s="54">
        <v>27.49</v>
      </c>
      <c r="O41" s="55"/>
      <c r="P41" s="56"/>
      <c r="Q41" s="56"/>
      <c r="R41" s="56"/>
      <c r="S41" s="56"/>
      <c r="T41" s="57"/>
    </row>
    <row r="42" spans="1:20" ht="13.5" customHeight="1" x14ac:dyDescent="0.2">
      <c r="A42" s="53">
        <v>200</v>
      </c>
      <c r="B42" s="54" t="s">
        <v>94</v>
      </c>
      <c r="C42" s="54">
        <v>12</v>
      </c>
      <c r="D42" s="54">
        <v>14.94</v>
      </c>
      <c r="E42" s="54">
        <v>15.08</v>
      </c>
      <c r="F42" s="54">
        <v>15.14</v>
      </c>
      <c r="G42" s="54">
        <v>15.21</v>
      </c>
      <c r="H42" s="54">
        <v>15.27</v>
      </c>
      <c r="I42" s="54">
        <v>15.35</v>
      </c>
      <c r="J42" s="54">
        <v>15.41</v>
      </c>
      <c r="K42" s="54">
        <v>15.47</v>
      </c>
      <c r="L42" s="54">
        <v>15.52</v>
      </c>
      <c r="M42" s="54">
        <v>15.67</v>
      </c>
      <c r="N42" s="54">
        <v>15.82</v>
      </c>
      <c r="O42" s="55"/>
      <c r="P42" s="56"/>
      <c r="Q42" s="56"/>
      <c r="R42" s="56"/>
      <c r="S42" s="56"/>
      <c r="T42" s="57"/>
    </row>
    <row r="43" spans="1:20" ht="13.5" customHeight="1" x14ac:dyDescent="0.2">
      <c r="A43" s="53">
        <v>201</v>
      </c>
      <c r="B43" s="54" t="s">
        <v>95</v>
      </c>
      <c r="C43" s="54">
        <v>12</v>
      </c>
      <c r="D43" s="54">
        <v>9.59</v>
      </c>
      <c r="E43" s="54">
        <v>9.67</v>
      </c>
      <c r="F43" s="54">
        <v>9.7100000000000009</v>
      </c>
      <c r="G43" s="54">
        <v>9.76</v>
      </c>
      <c r="H43" s="54">
        <v>9.8000000000000007</v>
      </c>
      <c r="I43" s="54">
        <v>9.84</v>
      </c>
      <c r="J43" s="54">
        <v>9.8800000000000008</v>
      </c>
      <c r="K43" s="54">
        <v>9.93</v>
      </c>
      <c r="L43" s="54">
        <v>9.9499999999999993</v>
      </c>
      <c r="M43" s="54">
        <v>10.039999999999999</v>
      </c>
      <c r="N43" s="54">
        <v>10.14</v>
      </c>
      <c r="O43" s="55"/>
      <c r="P43" s="56"/>
      <c r="Q43" s="56"/>
      <c r="R43" s="56"/>
      <c r="S43" s="56"/>
      <c r="T43" s="57"/>
    </row>
    <row r="44" spans="1:20" ht="13.5" customHeight="1" x14ac:dyDescent="0.2">
      <c r="A44" s="53">
        <v>202</v>
      </c>
      <c r="B44" s="54" t="s">
        <v>95</v>
      </c>
      <c r="C44" s="54">
        <v>12</v>
      </c>
      <c r="D44" s="54">
        <v>9.59</v>
      </c>
      <c r="E44" s="54">
        <v>9.67</v>
      </c>
      <c r="F44" s="54">
        <v>9.7100000000000009</v>
      </c>
      <c r="G44" s="54">
        <v>9.76</v>
      </c>
      <c r="H44" s="54">
        <v>9.8000000000000007</v>
      </c>
      <c r="I44" s="54">
        <v>9.84</v>
      </c>
      <c r="J44" s="54">
        <v>9.8800000000000008</v>
      </c>
      <c r="K44" s="54">
        <v>9.93</v>
      </c>
      <c r="L44" s="54">
        <v>9.9499999999999993</v>
      </c>
      <c r="M44" s="54">
        <v>10.039999999999999</v>
      </c>
      <c r="N44" s="54">
        <v>10.14</v>
      </c>
      <c r="O44" s="55"/>
      <c r="P44" s="56"/>
      <c r="Q44" s="56"/>
      <c r="R44" s="56"/>
      <c r="S44" s="56"/>
      <c r="T44" s="57"/>
    </row>
    <row r="45" spans="1:20" ht="13.5" customHeight="1" x14ac:dyDescent="0.2">
      <c r="A45" s="53">
        <v>203</v>
      </c>
      <c r="B45" s="54" t="s">
        <v>96</v>
      </c>
      <c r="C45" s="54">
        <v>12</v>
      </c>
      <c r="D45" s="54">
        <v>17.690000000000001</v>
      </c>
      <c r="E45" s="54">
        <v>17.84</v>
      </c>
      <c r="F45" s="54">
        <v>17.920000000000002</v>
      </c>
      <c r="G45" s="54">
        <v>18</v>
      </c>
      <c r="H45" s="54">
        <v>18.07</v>
      </c>
      <c r="I45" s="54">
        <v>18.16</v>
      </c>
      <c r="J45" s="54">
        <v>18.23</v>
      </c>
      <c r="K45" s="54">
        <v>18.32</v>
      </c>
      <c r="L45" s="54">
        <v>18.36</v>
      </c>
      <c r="M45" s="54">
        <v>18.54</v>
      </c>
      <c r="N45" s="54">
        <v>18.71</v>
      </c>
      <c r="O45" s="55"/>
      <c r="P45" s="56"/>
      <c r="Q45" s="56"/>
      <c r="R45" s="56"/>
      <c r="S45" s="56"/>
      <c r="T45" s="57"/>
    </row>
    <row r="46" spans="1:20" ht="13.5" customHeight="1" x14ac:dyDescent="0.2">
      <c r="A46" s="53">
        <v>216</v>
      </c>
      <c r="B46" s="54" t="s">
        <v>97</v>
      </c>
      <c r="C46" s="54">
        <v>12</v>
      </c>
      <c r="D46" s="54">
        <v>6.84</v>
      </c>
      <c r="E46" s="54">
        <v>6.9</v>
      </c>
      <c r="F46" s="54">
        <v>6.93</v>
      </c>
      <c r="G46" s="54">
        <v>6.97</v>
      </c>
      <c r="H46" s="54">
        <v>7</v>
      </c>
      <c r="I46" s="54">
        <v>7.03</v>
      </c>
      <c r="J46" s="54">
        <v>7.05</v>
      </c>
      <c r="K46" s="54">
        <v>7.08</v>
      </c>
      <c r="L46" s="54">
        <v>7.1</v>
      </c>
      <c r="M46" s="54">
        <v>7.17</v>
      </c>
      <c r="N46" s="54">
        <v>7.24</v>
      </c>
      <c r="O46" s="55"/>
      <c r="P46" s="56"/>
      <c r="Q46" s="56"/>
      <c r="R46" s="56"/>
      <c r="S46" s="56"/>
      <c r="T46" s="57"/>
    </row>
    <row r="47" spans="1:20" ht="13.5" customHeight="1" x14ac:dyDescent="0.2">
      <c r="A47" s="53">
        <v>234</v>
      </c>
      <c r="B47" s="54" t="s">
        <v>98</v>
      </c>
      <c r="C47" s="54">
        <v>24</v>
      </c>
      <c r="D47" s="54">
        <v>6.72</v>
      </c>
      <c r="E47" s="54">
        <v>6.77</v>
      </c>
      <c r="F47" s="54">
        <v>6.81</v>
      </c>
      <c r="G47" s="54">
        <v>6.84</v>
      </c>
      <c r="H47" s="54">
        <v>6.87</v>
      </c>
      <c r="I47" s="54">
        <v>6.9</v>
      </c>
      <c r="J47" s="54">
        <v>6.92</v>
      </c>
      <c r="K47" s="54">
        <v>6.95</v>
      </c>
      <c r="L47" s="54">
        <v>6.98</v>
      </c>
      <c r="M47" s="54">
        <v>7.04</v>
      </c>
      <c r="N47" s="54">
        <v>7.1</v>
      </c>
      <c r="O47" s="55"/>
      <c r="P47" s="56"/>
      <c r="Q47" s="56"/>
      <c r="R47" s="56"/>
      <c r="S47" s="56"/>
      <c r="T47" s="57"/>
    </row>
    <row r="48" spans="1:20" ht="13.5" customHeight="1" x14ac:dyDescent="0.2">
      <c r="A48" s="53">
        <v>235</v>
      </c>
      <c r="B48" s="54" t="s">
        <v>99</v>
      </c>
      <c r="C48" s="54">
        <v>12</v>
      </c>
      <c r="D48" s="54">
        <v>5.88</v>
      </c>
      <c r="E48" s="54">
        <v>5.93</v>
      </c>
      <c r="F48" s="54">
        <v>5.96</v>
      </c>
      <c r="G48" s="54">
        <v>5.99</v>
      </c>
      <c r="H48" s="54">
        <v>6.02</v>
      </c>
      <c r="I48" s="54">
        <v>6.04</v>
      </c>
      <c r="J48" s="54">
        <v>6.06</v>
      </c>
      <c r="K48" s="54">
        <v>6.09</v>
      </c>
      <c r="L48" s="54">
        <v>6.1</v>
      </c>
      <c r="M48" s="54">
        <v>6.17</v>
      </c>
      <c r="N48" s="54">
        <v>6.22</v>
      </c>
      <c r="O48" s="55"/>
      <c r="P48" s="56"/>
      <c r="Q48" s="56"/>
      <c r="R48" s="56"/>
      <c r="S48" s="56"/>
      <c r="T48" s="57"/>
    </row>
    <row r="49" spans="1:20" ht="13.5" customHeight="1" x14ac:dyDescent="0.2">
      <c r="A49" s="53">
        <v>240</v>
      </c>
      <c r="B49" s="54" t="s">
        <v>100</v>
      </c>
      <c r="C49" s="54">
        <v>6</v>
      </c>
      <c r="D49" s="54">
        <v>35.92</v>
      </c>
      <c r="E49" s="54">
        <v>36.229999999999997</v>
      </c>
      <c r="F49" s="54">
        <v>36.39</v>
      </c>
      <c r="G49" s="54">
        <v>36.549999999999997</v>
      </c>
      <c r="H49" s="54">
        <v>36.71</v>
      </c>
      <c r="I49" s="54">
        <v>36.869999999999997</v>
      </c>
      <c r="J49" s="54">
        <v>37.04</v>
      </c>
      <c r="K49" s="54">
        <v>37.200000000000003</v>
      </c>
      <c r="L49" s="54">
        <v>37.29</v>
      </c>
      <c r="M49" s="54">
        <v>37.65</v>
      </c>
      <c r="N49" s="54">
        <v>38</v>
      </c>
      <c r="O49" s="55"/>
      <c r="P49" s="56"/>
      <c r="Q49" s="56"/>
      <c r="R49" s="56"/>
      <c r="S49" s="56"/>
      <c r="T49" s="57"/>
    </row>
    <row r="50" spans="1:20" ht="13.5" customHeight="1" x14ac:dyDescent="0.2">
      <c r="A50" s="53">
        <v>241</v>
      </c>
      <c r="B50" s="54" t="s">
        <v>101</v>
      </c>
      <c r="C50" s="54">
        <v>12</v>
      </c>
      <c r="D50" s="54">
        <v>4.78</v>
      </c>
      <c r="E50" s="54">
        <v>4.82</v>
      </c>
      <c r="F50" s="54">
        <v>4.8499999999999996</v>
      </c>
      <c r="G50" s="54">
        <v>4.87</v>
      </c>
      <c r="H50" s="54">
        <v>4.8899999999999997</v>
      </c>
      <c r="I50" s="54">
        <v>4.91</v>
      </c>
      <c r="J50" s="54">
        <v>4.93</v>
      </c>
      <c r="K50" s="54">
        <v>4.95</v>
      </c>
      <c r="L50" s="54">
        <v>4.97</v>
      </c>
      <c r="M50" s="54">
        <v>5.0199999999999996</v>
      </c>
      <c r="N50" s="54">
        <v>5.0599999999999996</v>
      </c>
      <c r="O50" s="55"/>
      <c r="P50" s="56"/>
      <c r="Q50" s="56"/>
      <c r="R50" s="56"/>
      <c r="S50" s="56"/>
      <c r="T50" s="57"/>
    </row>
    <row r="51" spans="1:20" ht="13.5" customHeight="1" x14ac:dyDescent="0.2">
      <c r="A51" s="53">
        <v>242</v>
      </c>
      <c r="B51" s="54" t="s">
        <v>102</v>
      </c>
      <c r="C51" s="54">
        <v>12</v>
      </c>
      <c r="D51" s="54">
        <v>7.48</v>
      </c>
      <c r="E51" s="54">
        <v>7.54</v>
      </c>
      <c r="F51" s="54">
        <v>7.57</v>
      </c>
      <c r="G51" s="54">
        <v>7.6</v>
      </c>
      <c r="H51" s="54">
        <v>7.64</v>
      </c>
      <c r="I51" s="54">
        <v>7.67</v>
      </c>
      <c r="J51" s="54">
        <v>7.7</v>
      </c>
      <c r="K51" s="54">
        <v>7.74</v>
      </c>
      <c r="L51" s="54">
        <v>7.75</v>
      </c>
      <c r="M51" s="54">
        <v>7.83</v>
      </c>
      <c r="N51" s="54">
        <v>7.9</v>
      </c>
      <c r="O51" s="55"/>
      <c r="P51" s="56"/>
      <c r="Q51" s="56"/>
      <c r="R51" s="56"/>
      <c r="S51" s="56"/>
      <c r="T51" s="57"/>
    </row>
    <row r="52" spans="1:20" ht="13.5" customHeight="1" x14ac:dyDescent="0.2">
      <c r="A52" s="53">
        <v>243</v>
      </c>
      <c r="B52" s="54" t="s">
        <v>103</v>
      </c>
      <c r="C52" s="54">
        <v>12</v>
      </c>
      <c r="D52" s="54">
        <v>10.89</v>
      </c>
      <c r="E52" s="54">
        <v>10.99</v>
      </c>
      <c r="F52" s="54">
        <v>11.04</v>
      </c>
      <c r="G52" s="54">
        <v>11.1</v>
      </c>
      <c r="H52" s="54">
        <v>11.14</v>
      </c>
      <c r="I52" s="54">
        <v>11.19</v>
      </c>
      <c r="J52" s="54">
        <v>11.24</v>
      </c>
      <c r="K52" s="54">
        <v>11.29</v>
      </c>
      <c r="L52" s="54">
        <v>11.32</v>
      </c>
      <c r="M52" s="54">
        <v>11.43</v>
      </c>
      <c r="N52" s="54">
        <v>11.53</v>
      </c>
      <c r="O52" s="55"/>
      <c r="P52" s="56"/>
      <c r="Q52" s="56"/>
      <c r="R52" s="56"/>
      <c r="S52" s="56"/>
      <c r="T52" s="57"/>
    </row>
    <row r="53" spans="1:20" ht="13.5" customHeight="1" x14ac:dyDescent="0.2">
      <c r="A53" s="53">
        <v>244</v>
      </c>
      <c r="B53" s="54" t="s">
        <v>104</v>
      </c>
      <c r="C53" s="54">
        <v>6</v>
      </c>
      <c r="D53" s="54">
        <v>14.4</v>
      </c>
      <c r="E53" s="54">
        <v>14.53</v>
      </c>
      <c r="F53" s="54">
        <v>14.59</v>
      </c>
      <c r="G53" s="54">
        <v>14.65</v>
      </c>
      <c r="H53" s="54">
        <v>14.72</v>
      </c>
      <c r="I53" s="54">
        <v>14.78</v>
      </c>
      <c r="J53" s="54">
        <v>14.85</v>
      </c>
      <c r="K53" s="54">
        <v>14.91</v>
      </c>
      <c r="L53" s="54">
        <v>14.95</v>
      </c>
      <c r="M53" s="54">
        <v>15.09</v>
      </c>
      <c r="N53" s="54">
        <v>15.23</v>
      </c>
      <c r="O53" s="55"/>
      <c r="P53" s="56"/>
      <c r="Q53" s="56"/>
      <c r="R53" s="56"/>
      <c r="S53" s="56"/>
      <c r="T53" s="57"/>
    </row>
    <row r="54" spans="1:20" ht="13.5" customHeight="1" x14ac:dyDescent="0.2">
      <c r="A54" s="53">
        <v>245</v>
      </c>
      <c r="B54" s="54" t="s">
        <v>105</v>
      </c>
      <c r="C54" s="54">
        <v>6</v>
      </c>
      <c r="D54" s="54">
        <v>23.99</v>
      </c>
      <c r="E54" s="54">
        <v>24.21</v>
      </c>
      <c r="F54" s="54">
        <v>24.31</v>
      </c>
      <c r="G54" s="54">
        <v>24.42</v>
      </c>
      <c r="H54" s="54">
        <v>24.53</v>
      </c>
      <c r="I54" s="54">
        <v>24.63</v>
      </c>
      <c r="J54" s="54">
        <v>24.74</v>
      </c>
      <c r="K54" s="54">
        <v>24.85</v>
      </c>
      <c r="L54" s="54">
        <v>24.91</v>
      </c>
      <c r="M54" s="54">
        <v>25.14</v>
      </c>
      <c r="N54" s="54">
        <v>25.39</v>
      </c>
      <c r="O54" s="55"/>
      <c r="P54" s="56"/>
      <c r="Q54" s="56"/>
      <c r="R54" s="56"/>
      <c r="S54" s="56"/>
      <c r="T54" s="57"/>
    </row>
    <row r="55" spans="1:20" ht="13.5" customHeight="1" x14ac:dyDescent="0.2">
      <c r="A55" s="53">
        <v>271</v>
      </c>
      <c r="B55" s="54" t="s">
        <v>106</v>
      </c>
      <c r="C55" s="54">
        <v>12</v>
      </c>
      <c r="D55" s="54">
        <v>6.78</v>
      </c>
      <c r="E55" s="54">
        <v>6.85</v>
      </c>
      <c r="F55" s="54">
        <v>6.88</v>
      </c>
      <c r="G55" s="54">
        <v>6.91</v>
      </c>
      <c r="H55" s="54">
        <v>6.93</v>
      </c>
      <c r="I55" s="54">
        <v>6.97</v>
      </c>
      <c r="J55" s="54">
        <v>7</v>
      </c>
      <c r="K55" s="54">
        <v>7.03</v>
      </c>
      <c r="L55" s="54">
        <v>7.05</v>
      </c>
      <c r="M55" s="54">
        <v>7.11</v>
      </c>
      <c r="N55" s="54">
        <v>7.18</v>
      </c>
      <c r="O55" s="55"/>
      <c r="P55" s="56"/>
      <c r="Q55" s="56"/>
      <c r="R55" s="56"/>
      <c r="S55" s="56"/>
      <c r="T55" s="57"/>
    </row>
    <row r="56" spans="1:20" ht="13.5" customHeight="1" x14ac:dyDescent="0.2">
      <c r="A56" s="53">
        <v>293</v>
      </c>
      <c r="B56" s="54" t="s">
        <v>107</v>
      </c>
      <c r="C56" s="54">
        <v>4</v>
      </c>
      <c r="D56" s="54">
        <v>35.51</v>
      </c>
      <c r="E56" s="54">
        <v>35.83</v>
      </c>
      <c r="F56" s="54">
        <v>35.979999999999997</v>
      </c>
      <c r="G56" s="54">
        <v>36.14</v>
      </c>
      <c r="H56" s="54">
        <v>36.299999999999997</v>
      </c>
      <c r="I56" s="54">
        <v>36.450000000000003</v>
      </c>
      <c r="J56" s="54">
        <v>36.61</v>
      </c>
      <c r="K56" s="54">
        <v>36.770000000000003</v>
      </c>
      <c r="L56" s="54">
        <v>36.869999999999997</v>
      </c>
      <c r="M56" s="54">
        <v>37.22</v>
      </c>
      <c r="N56" s="54">
        <v>37.57</v>
      </c>
      <c r="O56" s="55"/>
      <c r="P56" s="56"/>
      <c r="Q56" s="56"/>
      <c r="R56" s="56"/>
      <c r="S56" s="56"/>
      <c r="T56" s="57"/>
    </row>
    <row r="57" spans="1:20" ht="13.5" customHeight="1" x14ac:dyDescent="0.2">
      <c r="A57" s="53" t="s">
        <v>108</v>
      </c>
      <c r="B57" s="54" t="s">
        <v>107</v>
      </c>
      <c r="C57" s="54">
        <v>4</v>
      </c>
      <c r="D57" s="54">
        <v>25.91</v>
      </c>
      <c r="E57" s="54">
        <v>26.14</v>
      </c>
      <c r="F57" s="54">
        <v>26.25</v>
      </c>
      <c r="G57" s="54">
        <v>26.37</v>
      </c>
      <c r="H57" s="54">
        <v>26.49</v>
      </c>
      <c r="I57" s="54">
        <v>26.6</v>
      </c>
      <c r="J57" s="54">
        <v>26.72</v>
      </c>
      <c r="K57" s="54">
        <v>26.84</v>
      </c>
      <c r="L57" s="54">
        <v>26.9</v>
      </c>
      <c r="M57" s="54">
        <v>27.16</v>
      </c>
      <c r="N57" s="54">
        <v>27.41</v>
      </c>
      <c r="O57" s="55"/>
      <c r="P57" s="56"/>
      <c r="Q57" s="56"/>
      <c r="R57" s="56"/>
      <c r="S57" s="56"/>
      <c r="T57" s="57"/>
    </row>
    <row r="58" spans="1:20" ht="13.5" customHeight="1" x14ac:dyDescent="0.2">
      <c r="A58" s="53">
        <v>295</v>
      </c>
      <c r="B58" s="54" t="s">
        <v>109</v>
      </c>
      <c r="C58" s="54">
        <v>4</v>
      </c>
      <c r="D58" s="54">
        <v>61.56</v>
      </c>
      <c r="E58" s="54">
        <v>62.1</v>
      </c>
      <c r="F58" s="54">
        <v>62.38</v>
      </c>
      <c r="G58" s="54">
        <v>62.64</v>
      </c>
      <c r="H58" s="54">
        <v>62.92</v>
      </c>
      <c r="I58" s="54">
        <v>63.2</v>
      </c>
      <c r="J58" s="54">
        <v>63.47</v>
      </c>
      <c r="K58" s="54">
        <v>63.76</v>
      </c>
      <c r="L58" s="54">
        <v>63.92</v>
      </c>
      <c r="M58" s="54">
        <v>64.52</v>
      </c>
      <c r="N58" s="54">
        <v>65.14</v>
      </c>
      <c r="O58" s="55"/>
      <c r="P58" s="56"/>
      <c r="Q58" s="56"/>
      <c r="R58" s="56"/>
      <c r="S58" s="56"/>
      <c r="T58" s="57"/>
    </row>
    <row r="59" spans="1:20" ht="13.5" customHeight="1" x14ac:dyDescent="0.2">
      <c r="A59" s="53" t="s">
        <v>110</v>
      </c>
      <c r="B59" s="54" t="s">
        <v>109</v>
      </c>
      <c r="C59" s="54">
        <v>4</v>
      </c>
      <c r="D59" s="54">
        <v>40.99</v>
      </c>
      <c r="E59" s="54">
        <v>41.35</v>
      </c>
      <c r="F59" s="54">
        <v>41.54</v>
      </c>
      <c r="G59" s="54">
        <v>41.72</v>
      </c>
      <c r="H59" s="54">
        <v>41.9</v>
      </c>
      <c r="I59" s="54">
        <v>42.09</v>
      </c>
      <c r="J59" s="54">
        <v>42.27</v>
      </c>
      <c r="K59" s="54">
        <v>42.46</v>
      </c>
      <c r="L59" s="54">
        <v>42.57</v>
      </c>
      <c r="M59" s="54">
        <v>42.96</v>
      </c>
      <c r="N59" s="54">
        <v>43.38</v>
      </c>
      <c r="O59" s="55"/>
      <c r="P59" s="56"/>
      <c r="Q59" s="56"/>
      <c r="R59" s="56"/>
      <c r="S59" s="56"/>
      <c r="T59" s="57"/>
    </row>
    <row r="60" spans="1:20" ht="13.5" customHeight="1" x14ac:dyDescent="0.2">
      <c r="A60" s="53">
        <v>301</v>
      </c>
      <c r="B60" s="54" t="s">
        <v>111</v>
      </c>
      <c r="C60" s="54">
        <v>12</v>
      </c>
      <c r="D60" s="54">
        <v>6.84</v>
      </c>
      <c r="E60" s="54">
        <v>6.9</v>
      </c>
      <c r="F60" s="54">
        <v>6.93</v>
      </c>
      <c r="G60" s="54">
        <v>6.97</v>
      </c>
      <c r="H60" s="54">
        <v>7</v>
      </c>
      <c r="I60" s="54">
        <v>7.03</v>
      </c>
      <c r="J60" s="54">
        <v>7.05</v>
      </c>
      <c r="K60" s="54">
        <v>7.08</v>
      </c>
      <c r="L60" s="54">
        <v>7.1</v>
      </c>
      <c r="M60" s="54">
        <v>7.17</v>
      </c>
      <c r="N60" s="54">
        <v>7.24</v>
      </c>
      <c r="O60" s="55"/>
      <c r="P60" s="56"/>
      <c r="Q60" s="56"/>
      <c r="R60" s="56"/>
      <c r="S60" s="56"/>
      <c r="T60" s="57"/>
    </row>
    <row r="61" spans="1:20" ht="13.5" customHeight="1" x14ac:dyDescent="0.2">
      <c r="A61" s="53" t="s">
        <v>112</v>
      </c>
      <c r="B61" s="54" t="s">
        <v>111</v>
      </c>
      <c r="C61" s="54">
        <v>12</v>
      </c>
      <c r="D61" s="54">
        <v>3.81</v>
      </c>
      <c r="E61" s="54">
        <v>3.84</v>
      </c>
      <c r="F61" s="54">
        <v>3.86</v>
      </c>
      <c r="G61" s="54">
        <v>3.88</v>
      </c>
      <c r="H61" s="54">
        <v>3.9</v>
      </c>
      <c r="I61" s="54">
        <v>3.91</v>
      </c>
      <c r="J61" s="54">
        <v>3.93</v>
      </c>
      <c r="K61" s="54">
        <v>3.95</v>
      </c>
      <c r="L61" s="54">
        <v>3.96</v>
      </c>
      <c r="M61" s="54">
        <v>3.99</v>
      </c>
      <c r="N61" s="54">
        <v>4.03</v>
      </c>
      <c r="O61" s="55"/>
      <c r="P61" s="56"/>
      <c r="Q61" s="56"/>
      <c r="R61" s="56"/>
      <c r="S61" s="56"/>
      <c r="T61" s="57"/>
    </row>
    <row r="62" spans="1:20" ht="13.5" customHeight="1" x14ac:dyDescent="0.2">
      <c r="A62" s="53">
        <v>302</v>
      </c>
      <c r="B62" s="54" t="s">
        <v>113</v>
      </c>
      <c r="C62" s="54">
        <v>12</v>
      </c>
      <c r="D62" s="54">
        <v>9.5299999999999994</v>
      </c>
      <c r="E62" s="54">
        <v>9.6199999999999992</v>
      </c>
      <c r="F62" s="54">
        <v>9.66</v>
      </c>
      <c r="G62" s="54">
        <v>9.6999999999999993</v>
      </c>
      <c r="H62" s="54">
        <v>9.74</v>
      </c>
      <c r="I62" s="54">
        <v>9.7899999999999991</v>
      </c>
      <c r="J62" s="54">
        <v>9.83</v>
      </c>
      <c r="K62" s="54">
        <v>9.8699999999999992</v>
      </c>
      <c r="L62" s="54">
        <v>9.89</v>
      </c>
      <c r="M62" s="54">
        <v>9.99</v>
      </c>
      <c r="N62" s="54">
        <v>10.09</v>
      </c>
      <c r="O62" s="55"/>
      <c r="P62" s="56"/>
      <c r="Q62" s="56"/>
      <c r="R62" s="56"/>
      <c r="S62" s="56"/>
      <c r="T62" s="57"/>
    </row>
    <row r="63" spans="1:20" ht="13.5" customHeight="1" x14ac:dyDescent="0.2">
      <c r="A63" s="53">
        <v>303</v>
      </c>
      <c r="B63" s="54" t="s">
        <v>114</v>
      </c>
      <c r="C63" s="54">
        <v>6</v>
      </c>
      <c r="D63" s="54">
        <v>11.36</v>
      </c>
      <c r="E63" s="54">
        <v>11.47</v>
      </c>
      <c r="F63" s="54">
        <v>11.51</v>
      </c>
      <c r="G63" s="54">
        <v>11.57</v>
      </c>
      <c r="H63" s="54">
        <v>11.62</v>
      </c>
      <c r="I63" s="54">
        <v>11.67</v>
      </c>
      <c r="J63" s="54">
        <v>11.72</v>
      </c>
      <c r="K63" s="54">
        <v>11.77</v>
      </c>
      <c r="L63" s="54">
        <v>11.8</v>
      </c>
      <c r="M63" s="54">
        <v>11.92</v>
      </c>
      <c r="N63" s="54">
        <v>12.02</v>
      </c>
      <c r="O63" s="55"/>
      <c r="P63" s="56"/>
      <c r="Q63" s="56"/>
      <c r="R63" s="56"/>
      <c r="S63" s="56"/>
      <c r="T63" s="57"/>
    </row>
    <row r="64" spans="1:20" ht="13.5" customHeight="1" x14ac:dyDescent="0.2">
      <c r="A64" s="53">
        <v>311</v>
      </c>
      <c r="B64" s="54" t="s">
        <v>115</v>
      </c>
      <c r="C64" s="54">
        <v>12</v>
      </c>
      <c r="D64" s="54">
        <v>6.38</v>
      </c>
      <c r="E64" s="54">
        <v>6.43</v>
      </c>
      <c r="F64" s="54">
        <v>6.46</v>
      </c>
      <c r="G64" s="54">
        <v>6.49</v>
      </c>
      <c r="H64" s="54">
        <v>6.52</v>
      </c>
      <c r="I64" s="54">
        <v>6.55</v>
      </c>
      <c r="J64" s="54">
        <v>6.57</v>
      </c>
      <c r="K64" s="54">
        <v>6.6</v>
      </c>
      <c r="L64" s="54">
        <v>6.62</v>
      </c>
      <c r="M64" s="54">
        <v>6.68</v>
      </c>
      <c r="N64" s="54">
        <v>6.74</v>
      </c>
      <c r="O64" s="55"/>
      <c r="P64" s="56"/>
      <c r="Q64" s="56"/>
      <c r="R64" s="56"/>
      <c r="S64" s="56"/>
      <c r="T64" s="57"/>
    </row>
    <row r="65" spans="1:20" ht="13.5" customHeight="1" x14ac:dyDescent="0.2">
      <c r="A65" s="53">
        <v>312</v>
      </c>
      <c r="B65" s="54" t="s">
        <v>111</v>
      </c>
      <c r="C65" s="54">
        <v>12</v>
      </c>
      <c r="D65" s="54">
        <v>7.8</v>
      </c>
      <c r="E65" s="54">
        <v>7.87</v>
      </c>
      <c r="F65" s="54">
        <v>7.9</v>
      </c>
      <c r="G65" s="54">
        <v>7.93</v>
      </c>
      <c r="H65" s="54">
        <v>7.98</v>
      </c>
      <c r="I65" s="54">
        <v>8.01</v>
      </c>
      <c r="J65" s="54">
        <v>8.0399999999999991</v>
      </c>
      <c r="K65" s="54">
        <v>8.08</v>
      </c>
      <c r="L65" s="54">
        <v>8.1</v>
      </c>
      <c r="M65" s="54">
        <v>8.18</v>
      </c>
      <c r="N65" s="54">
        <v>8.25</v>
      </c>
      <c r="O65" s="55"/>
      <c r="P65" s="56"/>
      <c r="Q65" s="56"/>
      <c r="R65" s="56"/>
      <c r="S65" s="56"/>
      <c r="T65" s="57"/>
    </row>
    <row r="66" spans="1:20" ht="13.5" customHeight="1" x14ac:dyDescent="0.2">
      <c r="A66" s="53">
        <v>313</v>
      </c>
      <c r="B66" s="54" t="s">
        <v>113</v>
      </c>
      <c r="C66" s="54">
        <v>6</v>
      </c>
      <c r="D66" s="54">
        <v>10.89</v>
      </c>
      <c r="E66" s="54">
        <v>10.99</v>
      </c>
      <c r="F66" s="54">
        <v>11.04</v>
      </c>
      <c r="G66" s="54">
        <v>11.1</v>
      </c>
      <c r="H66" s="54">
        <v>11.14</v>
      </c>
      <c r="I66" s="54">
        <v>11.19</v>
      </c>
      <c r="J66" s="54">
        <v>11.24</v>
      </c>
      <c r="K66" s="54">
        <v>11.29</v>
      </c>
      <c r="L66" s="54">
        <v>11.32</v>
      </c>
      <c r="M66" s="54">
        <v>11.43</v>
      </c>
      <c r="N66" s="54">
        <v>11.53</v>
      </c>
      <c r="O66" s="55"/>
      <c r="P66" s="56"/>
      <c r="Q66" s="56"/>
      <c r="R66" s="56"/>
      <c r="S66" s="56"/>
      <c r="T66" s="57"/>
    </row>
    <row r="67" spans="1:20" ht="13.5" customHeight="1" x14ac:dyDescent="0.2">
      <c r="A67" s="53">
        <v>314</v>
      </c>
      <c r="B67" s="54" t="s">
        <v>116</v>
      </c>
      <c r="C67" s="54">
        <v>6</v>
      </c>
      <c r="D67" s="54">
        <v>10.27</v>
      </c>
      <c r="E67" s="54">
        <v>10.36</v>
      </c>
      <c r="F67" s="54">
        <v>10.41</v>
      </c>
      <c r="G67" s="54">
        <v>10.45</v>
      </c>
      <c r="H67" s="54">
        <v>10.5</v>
      </c>
      <c r="I67" s="54">
        <v>10.54</v>
      </c>
      <c r="J67" s="54">
        <v>10.59</v>
      </c>
      <c r="K67" s="54">
        <v>10.64</v>
      </c>
      <c r="L67" s="54">
        <v>10.66</v>
      </c>
      <c r="M67" s="54">
        <v>10.77</v>
      </c>
      <c r="N67" s="54">
        <v>10.86</v>
      </c>
      <c r="O67" s="55"/>
      <c r="P67" s="56"/>
      <c r="Q67" s="56"/>
      <c r="R67" s="56"/>
      <c r="S67" s="56"/>
      <c r="T67" s="57"/>
    </row>
    <row r="68" spans="1:20" ht="13.5" customHeight="1" x14ac:dyDescent="0.2">
      <c r="A68" s="53">
        <v>322</v>
      </c>
      <c r="B68" s="54" t="s">
        <v>115</v>
      </c>
      <c r="C68" s="54">
        <v>12</v>
      </c>
      <c r="D68" s="54">
        <v>5.15</v>
      </c>
      <c r="E68" s="54">
        <v>5.2</v>
      </c>
      <c r="F68" s="54">
        <v>5.22</v>
      </c>
      <c r="G68" s="54">
        <v>5.25</v>
      </c>
      <c r="H68" s="54">
        <v>5.27</v>
      </c>
      <c r="I68" s="54">
        <v>5.29</v>
      </c>
      <c r="J68" s="54">
        <v>5.31</v>
      </c>
      <c r="K68" s="54">
        <v>5.34</v>
      </c>
      <c r="L68" s="54">
        <v>5.36</v>
      </c>
      <c r="M68" s="54">
        <v>5.4</v>
      </c>
      <c r="N68" s="54">
        <v>5.45</v>
      </c>
      <c r="O68" s="55"/>
      <c r="P68" s="56"/>
      <c r="Q68" s="56"/>
      <c r="R68" s="56"/>
      <c r="S68" s="56"/>
      <c r="T68" s="57"/>
    </row>
    <row r="69" spans="1:20" ht="13.5" customHeight="1" x14ac:dyDescent="0.2">
      <c r="A69" s="53">
        <v>324</v>
      </c>
      <c r="B69" s="54" t="s">
        <v>111</v>
      </c>
      <c r="C69" s="54">
        <v>12</v>
      </c>
      <c r="D69" s="54">
        <v>6.43</v>
      </c>
      <c r="E69" s="54">
        <v>6.49</v>
      </c>
      <c r="F69" s="54">
        <v>6.52</v>
      </c>
      <c r="G69" s="54">
        <v>6.54</v>
      </c>
      <c r="H69" s="54">
        <v>6.57</v>
      </c>
      <c r="I69" s="54">
        <v>6.6</v>
      </c>
      <c r="J69" s="54">
        <v>6.63</v>
      </c>
      <c r="K69" s="54">
        <v>6.66</v>
      </c>
      <c r="L69" s="54">
        <v>6.68</v>
      </c>
      <c r="M69" s="54">
        <v>6.74</v>
      </c>
      <c r="N69" s="54">
        <v>6.81</v>
      </c>
      <c r="O69" s="55"/>
      <c r="P69" s="56"/>
      <c r="Q69" s="56"/>
      <c r="R69" s="56"/>
      <c r="S69" s="56"/>
      <c r="T69" s="57"/>
    </row>
    <row r="70" spans="1:20" ht="13.5" customHeight="1" x14ac:dyDescent="0.2">
      <c r="A70" s="53">
        <v>331</v>
      </c>
      <c r="B70" s="54" t="s">
        <v>115</v>
      </c>
      <c r="C70" s="54">
        <v>12</v>
      </c>
      <c r="D70" s="54">
        <v>4.7300000000000004</v>
      </c>
      <c r="E70" s="54">
        <v>4.7699999999999996</v>
      </c>
      <c r="F70" s="54">
        <v>4.79</v>
      </c>
      <c r="G70" s="54">
        <v>4.8099999999999996</v>
      </c>
      <c r="H70" s="54">
        <v>4.84</v>
      </c>
      <c r="I70" s="54">
        <v>4.8600000000000003</v>
      </c>
      <c r="J70" s="54">
        <v>4.88</v>
      </c>
      <c r="K70" s="54">
        <v>4.9000000000000004</v>
      </c>
      <c r="L70" s="54">
        <v>4.91</v>
      </c>
      <c r="M70" s="54">
        <v>4.96</v>
      </c>
      <c r="N70" s="54">
        <v>5.01</v>
      </c>
      <c r="O70" s="55"/>
      <c r="P70" s="56"/>
      <c r="Q70" s="56"/>
      <c r="R70" s="56"/>
      <c r="S70" s="56"/>
      <c r="T70" s="57"/>
    </row>
    <row r="71" spans="1:20" ht="13.5" customHeight="1" x14ac:dyDescent="0.2">
      <c r="A71" s="53">
        <v>334</v>
      </c>
      <c r="B71" s="54" t="s">
        <v>113</v>
      </c>
      <c r="C71" s="54">
        <v>6</v>
      </c>
      <c r="D71" s="54">
        <v>10.28</v>
      </c>
      <c r="E71" s="54">
        <v>10.37</v>
      </c>
      <c r="F71" s="54">
        <v>10.42</v>
      </c>
      <c r="G71" s="54">
        <v>10.47</v>
      </c>
      <c r="H71" s="54">
        <v>10.51</v>
      </c>
      <c r="I71" s="54">
        <v>10.55</v>
      </c>
      <c r="J71" s="54">
        <v>10.61</v>
      </c>
      <c r="K71" s="54">
        <v>10.65</v>
      </c>
      <c r="L71" s="54">
        <v>10.68</v>
      </c>
      <c r="M71" s="54">
        <v>10.78</v>
      </c>
      <c r="N71" s="54">
        <v>10.88</v>
      </c>
      <c r="O71" s="55"/>
      <c r="P71" s="56"/>
      <c r="Q71" s="56"/>
      <c r="R71" s="56"/>
      <c r="S71" s="56"/>
      <c r="T71" s="57"/>
    </row>
    <row r="72" spans="1:20" ht="13.5" customHeight="1" x14ac:dyDescent="0.2">
      <c r="A72" s="53">
        <v>351</v>
      </c>
      <c r="B72" s="54" t="s">
        <v>117</v>
      </c>
      <c r="C72" s="54">
        <v>12</v>
      </c>
      <c r="D72" s="54">
        <v>5.96</v>
      </c>
      <c r="E72" s="54">
        <v>6.02</v>
      </c>
      <c r="F72" s="54">
        <v>6.04</v>
      </c>
      <c r="G72" s="54">
        <v>6.07</v>
      </c>
      <c r="H72" s="54">
        <v>6.09</v>
      </c>
      <c r="I72" s="54">
        <v>6.12</v>
      </c>
      <c r="J72" s="54">
        <v>6.15</v>
      </c>
      <c r="K72" s="54">
        <v>6.18</v>
      </c>
      <c r="L72" s="54">
        <v>6.19</v>
      </c>
      <c r="M72" s="54">
        <v>6.25</v>
      </c>
      <c r="N72" s="54">
        <v>6.32</v>
      </c>
      <c r="O72" s="55"/>
      <c r="P72" s="56"/>
      <c r="Q72" s="56"/>
      <c r="R72" s="56"/>
      <c r="S72" s="56"/>
      <c r="T72" s="57"/>
    </row>
    <row r="73" spans="1:20" ht="13.5" customHeight="1" x14ac:dyDescent="0.2">
      <c r="A73" s="53">
        <v>352</v>
      </c>
      <c r="B73" s="54" t="s">
        <v>118</v>
      </c>
      <c r="C73" s="54">
        <v>12</v>
      </c>
      <c r="D73" s="54">
        <v>8.16</v>
      </c>
      <c r="E73" s="54">
        <v>8.23</v>
      </c>
      <c r="F73" s="54">
        <v>8.26</v>
      </c>
      <c r="G73" s="54">
        <v>8.31</v>
      </c>
      <c r="H73" s="54">
        <v>8.34</v>
      </c>
      <c r="I73" s="54">
        <v>8.3699999999999992</v>
      </c>
      <c r="J73" s="54">
        <v>8.41</v>
      </c>
      <c r="K73" s="54">
        <v>8.4499999999999993</v>
      </c>
      <c r="L73" s="54">
        <v>8.4700000000000006</v>
      </c>
      <c r="M73" s="54">
        <v>8.5500000000000007</v>
      </c>
      <c r="N73" s="54">
        <v>8.6300000000000008</v>
      </c>
      <c r="O73" s="55"/>
      <c r="P73" s="56"/>
      <c r="Q73" s="56"/>
      <c r="R73" s="56"/>
      <c r="S73" s="56"/>
      <c r="T73" s="57"/>
    </row>
    <row r="74" spans="1:20" ht="13.5" customHeight="1" x14ac:dyDescent="0.2">
      <c r="A74" s="53">
        <v>353</v>
      </c>
      <c r="B74" s="54" t="s">
        <v>119</v>
      </c>
      <c r="C74" s="54">
        <v>12</v>
      </c>
      <c r="D74" s="54">
        <v>10.89</v>
      </c>
      <c r="E74" s="54">
        <v>10.99</v>
      </c>
      <c r="F74" s="54">
        <v>11.04</v>
      </c>
      <c r="G74" s="54">
        <v>11.1</v>
      </c>
      <c r="H74" s="54">
        <v>11.14</v>
      </c>
      <c r="I74" s="54">
        <v>11.19</v>
      </c>
      <c r="J74" s="54">
        <v>11.24</v>
      </c>
      <c r="K74" s="54">
        <v>11.29</v>
      </c>
      <c r="L74" s="54">
        <v>11.32</v>
      </c>
      <c r="M74" s="54">
        <v>11.43</v>
      </c>
      <c r="N74" s="54">
        <v>11.53</v>
      </c>
      <c r="O74" s="55"/>
      <c r="P74" s="56"/>
      <c r="Q74" s="56"/>
      <c r="R74" s="56"/>
      <c r="S74" s="56"/>
      <c r="T74" s="57"/>
    </row>
    <row r="75" spans="1:20" ht="13.5" customHeight="1" x14ac:dyDescent="0.2">
      <c r="A75" s="53">
        <v>354</v>
      </c>
      <c r="B75" s="54" t="s">
        <v>120</v>
      </c>
      <c r="C75" s="54">
        <v>12</v>
      </c>
      <c r="D75" s="54">
        <v>16.38</v>
      </c>
      <c r="E75" s="54">
        <v>16.53</v>
      </c>
      <c r="F75" s="54">
        <v>16.600000000000001</v>
      </c>
      <c r="G75" s="54">
        <v>16.68</v>
      </c>
      <c r="H75" s="54">
        <v>16.739999999999998</v>
      </c>
      <c r="I75" s="54">
        <v>16.82</v>
      </c>
      <c r="J75" s="54">
        <v>16.89</v>
      </c>
      <c r="K75" s="54">
        <v>16.97</v>
      </c>
      <c r="L75" s="54">
        <v>17.010000000000002</v>
      </c>
      <c r="M75" s="54">
        <v>17.170000000000002</v>
      </c>
      <c r="N75" s="54">
        <v>17.34</v>
      </c>
      <c r="O75" s="55"/>
      <c r="P75" s="56"/>
      <c r="Q75" s="56"/>
      <c r="R75" s="56"/>
      <c r="S75" s="56"/>
      <c r="T75" s="57"/>
    </row>
    <row r="76" spans="1:20" ht="13.5" customHeight="1" x14ac:dyDescent="0.2">
      <c r="A76" s="53" t="s">
        <v>121</v>
      </c>
      <c r="B76" s="54" t="s">
        <v>120</v>
      </c>
      <c r="C76" s="54">
        <v>12</v>
      </c>
      <c r="D76" s="54">
        <v>13.64</v>
      </c>
      <c r="E76" s="54">
        <v>13.76</v>
      </c>
      <c r="F76" s="54">
        <v>13.82</v>
      </c>
      <c r="G76" s="54">
        <v>13.89</v>
      </c>
      <c r="H76" s="54">
        <v>13.94</v>
      </c>
      <c r="I76" s="54">
        <v>14</v>
      </c>
      <c r="J76" s="54">
        <v>14.07</v>
      </c>
      <c r="K76" s="54">
        <v>14.13</v>
      </c>
      <c r="L76" s="54">
        <v>14.16</v>
      </c>
      <c r="M76" s="54">
        <v>14.3</v>
      </c>
      <c r="N76" s="54">
        <v>14.43</v>
      </c>
      <c r="O76" s="55"/>
      <c r="P76" s="56"/>
      <c r="Q76" s="56"/>
      <c r="R76" s="56"/>
      <c r="S76" s="56"/>
      <c r="T76" s="57"/>
    </row>
    <row r="77" spans="1:20" ht="13.5" customHeight="1" x14ac:dyDescent="0.2">
      <c r="A77" s="53">
        <v>355</v>
      </c>
      <c r="B77" s="54" t="s">
        <v>122</v>
      </c>
      <c r="C77" s="54">
        <v>4</v>
      </c>
      <c r="D77" s="54">
        <v>38.25</v>
      </c>
      <c r="E77" s="54">
        <v>38.58</v>
      </c>
      <c r="F77" s="54">
        <v>38.76</v>
      </c>
      <c r="G77" s="54">
        <v>38.93</v>
      </c>
      <c r="H77" s="54">
        <v>39.1</v>
      </c>
      <c r="I77" s="54">
        <v>39.270000000000003</v>
      </c>
      <c r="J77" s="54">
        <v>39.450000000000003</v>
      </c>
      <c r="K77" s="54">
        <v>39.619999999999997</v>
      </c>
      <c r="L77" s="54">
        <v>39.71</v>
      </c>
      <c r="M77" s="54">
        <v>40.1</v>
      </c>
      <c r="N77" s="54">
        <v>40.47</v>
      </c>
      <c r="O77" s="55"/>
      <c r="P77" s="56"/>
      <c r="Q77" s="56"/>
      <c r="R77" s="56"/>
      <c r="S77" s="56"/>
      <c r="T77" s="57"/>
    </row>
    <row r="78" spans="1:20" ht="13.5" customHeight="1" x14ac:dyDescent="0.2">
      <c r="A78" s="53" t="s">
        <v>123</v>
      </c>
      <c r="B78" s="54" t="s">
        <v>122</v>
      </c>
      <c r="C78" s="54">
        <v>4</v>
      </c>
      <c r="D78" s="54">
        <v>30.02</v>
      </c>
      <c r="E78" s="54">
        <v>30.29</v>
      </c>
      <c r="F78" s="54">
        <v>30.43</v>
      </c>
      <c r="G78" s="54">
        <v>30.55</v>
      </c>
      <c r="H78" s="54">
        <v>30.69</v>
      </c>
      <c r="I78" s="54">
        <v>30.82</v>
      </c>
      <c r="J78" s="54">
        <v>30.96</v>
      </c>
      <c r="K78" s="54">
        <v>31.1</v>
      </c>
      <c r="L78" s="54">
        <v>31.17</v>
      </c>
      <c r="M78" s="54">
        <v>31.47</v>
      </c>
      <c r="N78" s="54">
        <v>31.77</v>
      </c>
      <c r="O78" s="55"/>
      <c r="P78" s="56"/>
      <c r="Q78" s="56"/>
      <c r="R78" s="56"/>
      <c r="S78" s="56"/>
      <c r="T78" s="57"/>
    </row>
    <row r="79" spans="1:20" ht="13.5" customHeight="1" x14ac:dyDescent="0.2">
      <c r="A79" s="53">
        <v>360</v>
      </c>
      <c r="B79" s="54" t="s">
        <v>124</v>
      </c>
      <c r="C79" s="54">
        <v>12</v>
      </c>
      <c r="D79" s="54">
        <v>17.690000000000001</v>
      </c>
      <c r="E79" s="54">
        <v>17.84</v>
      </c>
      <c r="F79" s="54">
        <v>17.920000000000002</v>
      </c>
      <c r="G79" s="54">
        <v>18</v>
      </c>
      <c r="H79" s="54">
        <v>18.07</v>
      </c>
      <c r="I79" s="54">
        <v>18.16</v>
      </c>
      <c r="J79" s="54">
        <v>18.23</v>
      </c>
      <c r="K79" s="54">
        <v>18.32</v>
      </c>
      <c r="L79" s="54">
        <v>18.36</v>
      </c>
      <c r="M79" s="54">
        <v>18.54</v>
      </c>
      <c r="N79" s="54">
        <v>18.71</v>
      </c>
      <c r="O79" s="55"/>
      <c r="P79" s="56"/>
      <c r="Q79" s="56"/>
      <c r="R79" s="56"/>
      <c r="S79" s="56"/>
      <c r="T79" s="57"/>
    </row>
    <row r="80" spans="1:20" ht="13.5" customHeight="1" x14ac:dyDescent="0.2">
      <c r="A80" s="53">
        <v>368</v>
      </c>
      <c r="B80" s="54" t="s">
        <v>125</v>
      </c>
      <c r="C80" s="54">
        <v>20</v>
      </c>
      <c r="D80" s="54">
        <v>7.8</v>
      </c>
      <c r="E80" s="54">
        <v>7.87</v>
      </c>
      <c r="F80" s="54">
        <v>7.9</v>
      </c>
      <c r="G80" s="54">
        <v>7.93</v>
      </c>
      <c r="H80" s="54">
        <v>7.98</v>
      </c>
      <c r="I80" s="54">
        <v>8.01</v>
      </c>
      <c r="J80" s="54">
        <v>8.0399999999999991</v>
      </c>
      <c r="K80" s="54">
        <v>8.08</v>
      </c>
      <c r="L80" s="54">
        <v>8.1</v>
      </c>
      <c r="M80" s="54">
        <v>8.18</v>
      </c>
      <c r="N80" s="54">
        <v>8.25</v>
      </c>
      <c r="O80" s="55"/>
      <c r="P80" s="56"/>
      <c r="Q80" s="56"/>
      <c r="R80" s="56"/>
      <c r="S80" s="56"/>
      <c r="T80" s="57"/>
    </row>
    <row r="81" spans="1:20" ht="13.5" customHeight="1" x14ac:dyDescent="0.2">
      <c r="A81" s="53" t="s">
        <v>126</v>
      </c>
      <c r="B81" s="54" t="s">
        <v>127</v>
      </c>
      <c r="C81" s="54">
        <v>4</v>
      </c>
      <c r="D81" s="54">
        <v>36.880000000000003</v>
      </c>
      <c r="E81" s="54">
        <v>37.200000000000003</v>
      </c>
      <c r="F81" s="54">
        <v>37.369999999999997</v>
      </c>
      <c r="G81" s="54">
        <v>37.53</v>
      </c>
      <c r="H81" s="54">
        <v>37.700000000000003</v>
      </c>
      <c r="I81" s="54">
        <v>37.86</v>
      </c>
      <c r="J81" s="54">
        <v>38.03</v>
      </c>
      <c r="K81" s="54">
        <v>38.200000000000003</v>
      </c>
      <c r="L81" s="54">
        <v>38.299999999999997</v>
      </c>
      <c r="M81" s="54">
        <v>38.659999999999997</v>
      </c>
      <c r="N81" s="54">
        <v>39.020000000000003</v>
      </c>
      <c r="O81" s="55"/>
      <c r="P81" s="56"/>
      <c r="Q81" s="56"/>
      <c r="R81" s="56"/>
      <c r="S81" s="56"/>
      <c r="T81" s="57"/>
    </row>
    <row r="82" spans="1:20" ht="13.5" customHeight="1" x14ac:dyDescent="0.2">
      <c r="A82" s="53" t="s">
        <v>128</v>
      </c>
      <c r="B82" s="54" t="s">
        <v>129</v>
      </c>
      <c r="C82" s="54">
        <v>4</v>
      </c>
      <c r="D82" s="54">
        <v>64.290000000000006</v>
      </c>
      <c r="E82" s="54">
        <v>64.87</v>
      </c>
      <c r="F82" s="54">
        <v>65.16</v>
      </c>
      <c r="G82" s="54">
        <v>65.430000000000007</v>
      </c>
      <c r="H82" s="54">
        <v>65.72</v>
      </c>
      <c r="I82" s="54">
        <v>66.02</v>
      </c>
      <c r="J82" s="54">
        <v>66.31</v>
      </c>
      <c r="K82" s="54">
        <v>66.59</v>
      </c>
      <c r="L82" s="54">
        <v>66.760000000000005</v>
      </c>
      <c r="M82" s="54">
        <v>67.39</v>
      </c>
      <c r="N82" s="54">
        <v>68.03</v>
      </c>
      <c r="O82" s="55"/>
      <c r="P82" s="56"/>
      <c r="Q82" s="56"/>
      <c r="R82" s="56"/>
      <c r="S82" s="56"/>
      <c r="T82" s="57"/>
    </row>
    <row r="83" spans="1:20" ht="13.5" customHeight="1" x14ac:dyDescent="0.2">
      <c r="A83" s="53">
        <v>381</v>
      </c>
      <c r="B83" s="54" t="s">
        <v>130</v>
      </c>
      <c r="C83" s="54">
        <v>24</v>
      </c>
      <c r="D83" s="54">
        <v>6.63</v>
      </c>
      <c r="E83" s="54">
        <v>6.7</v>
      </c>
      <c r="F83" s="54">
        <v>6.72</v>
      </c>
      <c r="G83" s="54">
        <v>6.75</v>
      </c>
      <c r="H83" s="54">
        <v>6.78</v>
      </c>
      <c r="I83" s="54">
        <v>6.82</v>
      </c>
      <c r="J83" s="54">
        <v>6.85</v>
      </c>
      <c r="K83" s="54">
        <v>6.87</v>
      </c>
      <c r="L83" s="54">
        <v>6.89</v>
      </c>
      <c r="M83" s="54">
        <v>6.95</v>
      </c>
      <c r="N83" s="54">
        <v>7.02</v>
      </c>
      <c r="O83" s="55"/>
      <c r="P83" s="56"/>
      <c r="Q83" s="56"/>
      <c r="R83" s="56"/>
      <c r="S83" s="56"/>
      <c r="T83" s="57"/>
    </row>
    <row r="84" spans="1:20" ht="13.5" customHeight="1" x14ac:dyDescent="0.2">
      <c r="A84" s="53">
        <v>382</v>
      </c>
      <c r="B84" s="54" t="s">
        <v>131</v>
      </c>
      <c r="C84" s="54">
        <v>24</v>
      </c>
      <c r="D84" s="54">
        <v>6.63</v>
      </c>
      <c r="E84" s="54">
        <v>6.7</v>
      </c>
      <c r="F84" s="54">
        <v>6.72</v>
      </c>
      <c r="G84" s="54">
        <v>6.75</v>
      </c>
      <c r="H84" s="54">
        <v>6.78</v>
      </c>
      <c r="I84" s="54">
        <v>6.82</v>
      </c>
      <c r="J84" s="54">
        <v>6.85</v>
      </c>
      <c r="K84" s="54">
        <v>6.87</v>
      </c>
      <c r="L84" s="54">
        <v>6.89</v>
      </c>
      <c r="M84" s="54">
        <v>6.95</v>
      </c>
      <c r="N84" s="54">
        <v>7.02</v>
      </c>
      <c r="O84" s="55"/>
      <c r="P84" s="56"/>
      <c r="Q84" s="56"/>
      <c r="R84" s="56"/>
      <c r="S84" s="56"/>
      <c r="T84" s="57"/>
    </row>
    <row r="85" spans="1:20" ht="13.5" customHeight="1" x14ac:dyDescent="0.2">
      <c r="A85" s="53">
        <v>385</v>
      </c>
      <c r="B85" s="54" t="s">
        <v>132</v>
      </c>
      <c r="C85" s="54">
        <v>30</v>
      </c>
      <c r="D85" s="54">
        <v>8.19</v>
      </c>
      <c r="E85" s="54">
        <v>8.25</v>
      </c>
      <c r="F85" s="54">
        <v>8.3000000000000007</v>
      </c>
      <c r="G85" s="54">
        <v>8.33</v>
      </c>
      <c r="H85" s="54">
        <v>8.3699999999999992</v>
      </c>
      <c r="I85" s="54">
        <v>8.4</v>
      </c>
      <c r="J85" s="54">
        <v>8.4499999999999993</v>
      </c>
      <c r="K85" s="54">
        <v>8.48</v>
      </c>
      <c r="L85" s="54">
        <v>8.5</v>
      </c>
      <c r="M85" s="54">
        <v>8.58</v>
      </c>
      <c r="N85" s="54">
        <v>8.66</v>
      </c>
      <c r="O85" s="55"/>
      <c r="P85" s="56"/>
      <c r="Q85" s="56"/>
      <c r="R85" s="56"/>
      <c r="S85" s="56"/>
      <c r="T85" s="57"/>
    </row>
    <row r="86" spans="1:20" ht="13.5" customHeight="1" x14ac:dyDescent="0.2">
      <c r="A86" s="53">
        <v>386</v>
      </c>
      <c r="B86" s="54" t="s">
        <v>133</v>
      </c>
      <c r="C86" s="54">
        <v>6</v>
      </c>
      <c r="D86" s="54">
        <v>25.37</v>
      </c>
      <c r="E86" s="54">
        <v>25.59</v>
      </c>
      <c r="F86" s="54">
        <v>25.7</v>
      </c>
      <c r="G86" s="54">
        <v>25.82</v>
      </c>
      <c r="H86" s="54">
        <v>25.92</v>
      </c>
      <c r="I86" s="54">
        <v>26.04</v>
      </c>
      <c r="J86" s="54">
        <v>26.16</v>
      </c>
      <c r="K86" s="54">
        <v>26.27</v>
      </c>
      <c r="L86" s="54">
        <v>26.34</v>
      </c>
      <c r="M86" s="54">
        <v>26.58</v>
      </c>
      <c r="N86" s="54">
        <v>26.84</v>
      </c>
      <c r="O86" s="55"/>
      <c r="P86" s="56"/>
      <c r="Q86" s="56"/>
      <c r="R86" s="56"/>
      <c r="S86" s="56"/>
      <c r="T86" s="57"/>
    </row>
    <row r="87" spans="1:20" ht="13.5" customHeight="1" x14ac:dyDescent="0.2">
      <c r="A87" s="53">
        <v>389</v>
      </c>
      <c r="B87" s="54" t="s">
        <v>134</v>
      </c>
      <c r="C87" s="54">
        <v>50</v>
      </c>
      <c r="D87" s="54">
        <v>3.28</v>
      </c>
      <c r="E87" s="54">
        <v>3.3</v>
      </c>
      <c r="F87" s="54">
        <v>3.32</v>
      </c>
      <c r="G87" s="54">
        <v>3.33</v>
      </c>
      <c r="H87" s="54">
        <v>3.34</v>
      </c>
      <c r="I87" s="54">
        <v>3.37</v>
      </c>
      <c r="J87" s="54">
        <v>3.38</v>
      </c>
      <c r="K87" s="54">
        <v>3.4</v>
      </c>
      <c r="L87" s="54">
        <v>3.4</v>
      </c>
      <c r="M87" s="54">
        <v>3.43</v>
      </c>
      <c r="N87" s="54">
        <v>3.47</v>
      </c>
      <c r="O87" s="55"/>
      <c r="P87" s="56"/>
      <c r="Q87" s="56"/>
      <c r="R87" s="56"/>
      <c r="S87" s="56"/>
      <c r="T87" s="57"/>
    </row>
    <row r="88" spans="1:20" ht="13.5" customHeight="1" x14ac:dyDescent="0.2">
      <c r="A88" s="53">
        <v>400</v>
      </c>
      <c r="B88" s="54" t="s">
        <v>135</v>
      </c>
      <c r="C88" s="54">
        <v>6</v>
      </c>
      <c r="D88" s="54">
        <v>47.85</v>
      </c>
      <c r="E88" s="54">
        <v>48.27</v>
      </c>
      <c r="F88" s="54">
        <v>48.48</v>
      </c>
      <c r="G88" s="54">
        <v>48.69</v>
      </c>
      <c r="H88" s="54">
        <v>48.9</v>
      </c>
      <c r="I88" s="54">
        <v>49.13</v>
      </c>
      <c r="J88" s="54">
        <v>49.34</v>
      </c>
      <c r="K88" s="54">
        <v>49.55</v>
      </c>
      <c r="L88" s="54">
        <v>49.68</v>
      </c>
      <c r="M88" s="54">
        <v>50.15</v>
      </c>
      <c r="N88" s="54">
        <v>50.63</v>
      </c>
      <c r="O88" s="55"/>
      <c r="P88" s="56"/>
      <c r="Q88" s="56"/>
      <c r="R88" s="56"/>
      <c r="S88" s="56"/>
      <c r="T88" s="57"/>
    </row>
    <row r="89" spans="1:20" ht="13.5" customHeight="1" x14ac:dyDescent="0.2">
      <c r="A89" s="53">
        <v>401</v>
      </c>
      <c r="B89" s="54" t="s">
        <v>136</v>
      </c>
      <c r="C89" s="54">
        <v>12</v>
      </c>
      <c r="D89" s="54">
        <v>5.21</v>
      </c>
      <c r="E89" s="54">
        <v>5.25</v>
      </c>
      <c r="F89" s="54">
        <v>5.28</v>
      </c>
      <c r="G89" s="54">
        <v>5.3</v>
      </c>
      <c r="H89" s="54">
        <v>5.33</v>
      </c>
      <c r="I89" s="54">
        <v>5.35</v>
      </c>
      <c r="J89" s="54">
        <v>5.37</v>
      </c>
      <c r="K89" s="54">
        <v>5.4</v>
      </c>
      <c r="L89" s="54">
        <v>5.41</v>
      </c>
      <c r="M89" s="54">
        <v>5.46</v>
      </c>
      <c r="N89" s="54">
        <v>5.52</v>
      </c>
      <c r="O89" s="55"/>
      <c r="P89" s="56"/>
      <c r="Q89" s="56"/>
      <c r="R89" s="56"/>
      <c r="S89" s="56"/>
      <c r="T89" s="57"/>
    </row>
    <row r="90" spans="1:20" ht="13.5" customHeight="1" x14ac:dyDescent="0.2">
      <c r="A90" s="53">
        <v>402</v>
      </c>
      <c r="B90" s="54" t="s">
        <v>137</v>
      </c>
      <c r="C90" s="54">
        <v>12</v>
      </c>
      <c r="D90" s="54">
        <v>7.48</v>
      </c>
      <c r="E90" s="54">
        <v>7.54</v>
      </c>
      <c r="F90" s="54">
        <v>7.57</v>
      </c>
      <c r="G90" s="54">
        <v>7.6</v>
      </c>
      <c r="H90" s="54">
        <v>7.64</v>
      </c>
      <c r="I90" s="54">
        <v>7.67</v>
      </c>
      <c r="J90" s="54">
        <v>7.7</v>
      </c>
      <c r="K90" s="54">
        <v>7.74</v>
      </c>
      <c r="L90" s="54">
        <v>7.75</v>
      </c>
      <c r="M90" s="54">
        <v>7.83</v>
      </c>
      <c r="N90" s="54">
        <v>7.9</v>
      </c>
      <c r="O90" s="55"/>
      <c r="P90" s="56"/>
      <c r="Q90" s="56"/>
      <c r="R90" s="56"/>
      <c r="S90" s="56"/>
      <c r="T90" s="57"/>
    </row>
    <row r="91" spans="1:20" ht="13.5" customHeight="1" x14ac:dyDescent="0.2">
      <c r="A91" s="53">
        <v>403</v>
      </c>
      <c r="B91" s="54" t="s">
        <v>138</v>
      </c>
      <c r="C91" s="54">
        <v>12</v>
      </c>
      <c r="D91" s="54">
        <v>10.96</v>
      </c>
      <c r="E91" s="54">
        <v>11.05</v>
      </c>
      <c r="F91" s="54">
        <v>11.1</v>
      </c>
      <c r="G91" s="54">
        <v>11.15</v>
      </c>
      <c r="H91" s="54">
        <v>11.19</v>
      </c>
      <c r="I91" s="54">
        <v>11.25</v>
      </c>
      <c r="J91" s="54">
        <v>11.3</v>
      </c>
      <c r="K91" s="54">
        <v>11.34</v>
      </c>
      <c r="L91" s="54">
        <v>11.37</v>
      </c>
      <c r="M91" s="54">
        <v>11.48</v>
      </c>
      <c r="N91" s="54">
        <v>11.59</v>
      </c>
      <c r="O91" s="55"/>
      <c r="P91" s="56"/>
      <c r="Q91" s="56"/>
      <c r="R91" s="56"/>
      <c r="S91" s="56"/>
      <c r="T91" s="57"/>
    </row>
    <row r="92" spans="1:20" ht="13.5" customHeight="1" x14ac:dyDescent="0.2">
      <c r="A92" s="53">
        <v>404</v>
      </c>
      <c r="B92" s="54" t="s">
        <v>139</v>
      </c>
      <c r="C92" s="54">
        <v>6</v>
      </c>
      <c r="D92" s="54">
        <v>19.05</v>
      </c>
      <c r="E92" s="54">
        <v>19.22</v>
      </c>
      <c r="F92" s="54">
        <v>19.309999999999999</v>
      </c>
      <c r="G92" s="54">
        <v>19.39</v>
      </c>
      <c r="H92" s="54">
        <v>19.48</v>
      </c>
      <c r="I92" s="54">
        <v>19.559999999999999</v>
      </c>
      <c r="J92" s="54">
        <v>19.649999999999999</v>
      </c>
      <c r="K92" s="54">
        <v>19.73</v>
      </c>
      <c r="L92" s="54">
        <v>19.79</v>
      </c>
      <c r="M92" s="54">
        <v>19.98</v>
      </c>
      <c r="N92" s="54">
        <v>20.16</v>
      </c>
      <c r="O92" s="55"/>
      <c r="P92" s="56"/>
      <c r="Q92" s="56"/>
      <c r="R92" s="56"/>
      <c r="S92" s="56"/>
      <c r="T92" s="57"/>
    </row>
    <row r="93" spans="1:20" ht="13.5" customHeight="1" x14ac:dyDescent="0.2">
      <c r="A93" s="53">
        <v>405</v>
      </c>
      <c r="B93" s="54" t="s">
        <v>140</v>
      </c>
      <c r="C93" s="54">
        <v>6</v>
      </c>
      <c r="D93" s="54">
        <v>23.17</v>
      </c>
      <c r="E93" s="54">
        <v>23.38</v>
      </c>
      <c r="F93" s="54">
        <v>23.47</v>
      </c>
      <c r="G93" s="54">
        <v>23.58</v>
      </c>
      <c r="H93" s="54">
        <v>23.69</v>
      </c>
      <c r="I93" s="54">
        <v>23.79</v>
      </c>
      <c r="J93" s="54">
        <v>23.89</v>
      </c>
      <c r="K93" s="54">
        <v>23.99</v>
      </c>
      <c r="L93" s="54">
        <v>24.06</v>
      </c>
      <c r="M93" s="54">
        <v>24.28</v>
      </c>
      <c r="N93" s="54">
        <v>24.52</v>
      </c>
      <c r="O93" s="55"/>
      <c r="P93" s="56"/>
      <c r="Q93" s="56"/>
      <c r="R93" s="56"/>
      <c r="S93" s="56"/>
      <c r="T93" s="57"/>
    </row>
    <row r="94" spans="1:20" ht="13.5" customHeight="1" x14ac:dyDescent="0.2">
      <c r="A94" s="53">
        <v>425</v>
      </c>
      <c r="B94" s="54" t="s">
        <v>141</v>
      </c>
      <c r="C94" s="54">
        <v>1</v>
      </c>
      <c r="D94" s="54">
        <v>294.76</v>
      </c>
      <c r="E94" s="54">
        <v>297.36</v>
      </c>
      <c r="F94" s="54">
        <v>298.67</v>
      </c>
      <c r="G94" s="54">
        <v>299.98</v>
      </c>
      <c r="H94" s="54">
        <v>301.3</v>
      </c>
      <c r="I94" s="54">
        <v>302.63</v>
      </c>
      <c r="J94" s="54">
        <v>303.95999999999998</v>
      </c>
      <c r="K94" s="54">
        <v>305.3</v>
      </c>
      <c r="L94" s="54">
        <v>306.07</v>
      </c>
      <c r="M94" s="54">
        <v>308.95999999999998</v>
      </c>
      <c r="N94" s="54">
        <v>311.89</v>
      </c>
      <c r="O94" s="55"/>
      <c r="P94" s="56"/>
      <c r="Q94" s="56"/>
      <c r="R94" s="56"/>
      <c r="S94" s="56"/>
      <c r="T94" s="57"/>
    </row>
    <row r="95" spans="1:20" ht="13.5" customHeight="1" x14ac:dyDescent="0.2">
      <c r="A95" s="53">
        <v>441</v>
      </c>
      <c r="B95" s="54" t="s">
        <v>115</v>
      </c>
      <c r="C95" s="54">
        <v>12</v>
      </c>
      <c r="D95" s="54">
        <v>5.44</v>
      </c>
      <c r="E95" s="54">
        <v>5.5</v>
      </c>
      <c r="F95" s="54">
        <v>5.52</v>
      </c>
      <c r="G95" s="54">
        <v>5.54</v>
      </c>
      <c r="H95" s="54">
        <v>5.56</v>
      </c>
      <c r="I95" s="54">
        <v>5.59</v>
      </c>
      <c r="J95" s="54">
        <v>5.61</v>
      </c>
      <c r="K95" s="54">
        <v>5.63</v>
      </c>
      <c r="L95" s="54">
        <v>5.66</v>
      </c>
      <c r="M95" s="54">
        <v>5.71</v>
      </c>
      <c r="N95" s="54">
        <v>5.76</v>
      </c>
      <c r="O95" s="55"/>
      <c r="P95" s="56"/>
      <c r="Q95" s="56"/>
      <c r="R95" s="56"/>
      <c r="S95" s="56"/>
      <c r="T95" s="57"/>
    </row>
    <row r="96" spans="1:20" ht="13.5" customHeight="1" x14ac:dyDescent="0.2">
      <c r="A96" s="53">
        <v>442</v>
      </c>
      <c r="B96" s="54" t="s">
        <v>111</v>
      </c>
      <c r="C96" s="54">
        <v>12</v>
      </c>
      <c r="D96" s="54">
        <v>6.84</v>
      </c>
      <c r="E96" s="54">
        <v>6.9</v>
      </c>
      <c r="F96" s="54">
        <v>6.93</v>
      </c>
      <c r="G96" s="54">
        <v>6.97</v>
      </c>
      <c r="H96" s="54">
        <v>7</v>
      </c>
      <c r="I96" s="54">
        <v>7.03</v>
      </c>
      <c r="J96" s="54">
        <v>7.05</v>
      </c>
      <c r="K96" s="54">
        <v>7.08</v>
      </c>
      <c r="L96" s="54">
        <v>7.1</v>
      </c>
      <c r="M96" s="54">
        <v>7.17</v>
      </c>
      <c r="N96" s="54">
        <v>7.24</v>
      </c>
      <c r="O96" s="55"/>
      <c r="P96" s="56"/>
      <c r="Q96" s="56"/>
      <c r="R96" s="56"/>
      <c r="S96" s="56"/>
      <c r="T96" s="57"/>
    </row>
    <row r="97" spans="1:20" ht="13.5" customHeight="1" x14ac:dyDescent="0.2">
      <c r="A97" s="53">
        <v>443</v>
      </c>
      <c r="B97" s="54" t="s">
        <v>111</v>
      </c>
      <c r="C97" s="54">
        <v>12</v>
      </c>
      <c r="D97" s="54">
        <v>9.5299999999999994</v>
      </c>
      <c r="E97" s="54">
        <v>9.6199999999999992</v>
      </c>
      <c r="F97" s="54">
        <v>9.66</v>
      </c>
      <c r="G97" s="54">
        <v>9.6999999999999993</v>
      </c>
      <c r="H97" s="54">
        <v>9.74</v>
      </c>
      <c r="I97" s="54">
        <v>9.7899999999999991</v>
      </c>
      <c r="J97" s="54">
        <v>9.83</v>
      </c>
      <c r="K97" s="54">
        <v>9.8699999999999992</v>
      </c>
      <c r="L97" s="54">
        <v>9.89</v>
      </c>
      <c r="M97" s="54">
        <v>9.99</v>
      </c>
      <c r="N97" s="54">
        <v>10.09</v>
      </c>
      <c r="O97" s="55"/>
      <c r="P97" s="56"/>
      <c r="Q97" s="56"/>
      <c r="R97" s="56"/>
      <c r="S97" s="56"/>
      <c r="T97" s="57"/>
    </row>
    <row r="98" spans="1:20" ht="13.5" customHeight="1" x14ac:dyDescent="0.2">
      <c r="A98" s="53">
        <v>444</v>
      </c>
      <c r="B98" s="54" t="s">
        <v>114</v>
      </c>
      <c r="C98" s="54">
        <v>6</v>
      </c>
      <c r="D98" s="54">
        <v>15.02</v>
      </c>
      <c r="E98" s="54">
        <v>15.14</v>
      </c>
      <c r="F98" s="54">
        <v>15.21</v>
      </c>
      <c r="G98" s="54">
        <v>15.28</v>
      </c>
      <c r="H98" s="54">
        <v>15.35</v>
      </c>
      <c r="I98" s="54">
        <v>15.41</v>
      </c>
      <c r="J98" s="54">
        <v>15.49</v>
      </c>
      <c r="K98" s="54">
        <v>15.55</v>
      </c>
      <c r="L98" s="54">
        <v>15.59</v>
      </c>
      <c r="M98" s="54">
        <v>15.74</v>
      </c>
      <c r="N98" s="54">
        <v>15.88</v>
      </c>
      <c r="O98" s="55"/>
      <c r="P98" s="56"/>
      <c r="Q98" s="56"/>
      <c r="R98" s="56"/>
      <c r="S98" s="56"/>
      <c r="T98" s="57"/>
    </row>
    <row r="99" spans="1:20" ht="13.5" customHeight="1" x14ac:dyDescent="0.2">
      <c r="A99" s="53">
        <v>508</v>
      </c>
      <c r="B99" s="54" t="s">
        <v>142</v>
      </c>
      <c r="C99" s="54">
        <v>6</v>
      </c>
      <c r="D99" s="54">
        <v>28.65</v>
      </c>
      <c r="E99" s="54">
        <v>28.9</v>
      </c>
      <c r="F99" s="54">
        <v>29.03</v>
      </c>
      <c r="G99" s="54">
        <v>29.16</v>
      </c>
      <c r="H99" s="54">
        <v>29.29</v>
      </c>
      <c r="I99" s="54">
        <v>29.42</v>
      </c>
      <c r="J99" s="54">
        <v>29.54</v>
      </c>
      <c r="K99" s="54">
        <v>29.68</v>
      </c>
      <c r="L99" s="54">
        <v>29.76</v>
      </c>
      <c r="M99" s="54">
        <v>30.03</v>
      </c>
      <c r="N99" s="54">
        <v>30.32</v>
      </c>
      <c r="O99" s="55"/>
      <c r="P99" s="56"/>
      <c r="Q99" s="56"/>
      <c r="R99" s="56"/>
      <c r="S99" s="56"/>
      <c r="T99" s="57"/>
    </row>
    <row r="100" spans="1:20" ht="13.5" customHeight="1" x14ac:dyDescent="0.2">
      <c r="A100" s="53">
        <v>509</v>
      </c>
      <c r="B100" s="54" t="s">
        <v>143</v>
      </c>
      <c r="C100" s="54">
        <v>12</v>
      </c>
      <c r="D100" s="54">
        <v>14.32</v>
      </c>
      <c r="E100" s="54">
        <v>14.45</v>
      </c>
      <c r="F100" s="54">
        <v>14.52</v>
      </c>
      <c r="G100" s="54">
        <v>14.58</v>
      </c>
      <c r="H100" s="54">
        <v>14.64</v>
      </c>
      <c r="I100" s="54">
        <v>14.71</v>
      </c>
      <c r="J100" s="54">
        <v>14.77</v>
      </c>
      <c r="K100" s="54">
        <v>14.84</v>
      </c>
      <c r="L100" s="54">
        <v>14.88</v>
      </c>
      <c r="M100" s="54">
        <v>15.02</v>
      </c>
      <c r="N100" s="54">
        <v>15.15</v>
      </c>
      <c r="O100" s="55"/>
      <c r="P100" s="56"/>
      <c r="Q100" s="56"/>
      <c r="R100" s="56"/>
      <c r="S100" s="56"/>
      <c r="T100" s="57"/>
    </row>
    <row r="101" spans="1:20" ht="13.5" customHeight="1" x14ac:dyDescent="0.2">
      <c r="A101" s="53">
        <v>510</v>
      </c>
      <c r="B101" s="54" t="s">
        <v>144</v>
      </c>
      <c r="C101" s="54">
        <v>12</v>
      </c>
      <c r="D101" s="54">
        <v>14.32</v>
      </c>
      <c r="E101" s="54">
        <v>14.45</v>
      </c>
      <c r="F101" s="54">
        <v>14.52</v>
      </c>
      <c r="G101" s="54">
        <v>14.58</v>
      </c>
      <c r="H101" s="54">
        <v>14.64</v>
      </c>
      <c r="I101" s="54">
        <v>14.71</v>
      </c>
      <c r="J101" s="54">
        <v>14.77</v>
      </c>
      <c r="K101" s="54">
        <v>14.84</v>
      </c>
      <c r="L101" s="54">
        <v>14.88</v>
      </c>
      <c r="M101" s="54">
        <v>15.02</v>
      </c>
      <c r="N101" s="54">
        <v>15.15</v>
      </c>
      <c r="O101" s="55"/>
      <c r="P101" s="56"/>
      <c r="Q101" s="56"/>
      <c r="R101" s="56"/>
      <c r="S101" s="56"/>
      <c r="T101" s="57"/>
    </row>
    <row r="102" spans="1:20" ht="13.5" customHeight="1" x14ac:dyDescent="0.2">
      <c r="A102" s="53">
        <v>514</v>
      </c>
      <c r="B102" s="54" t="s">
        <v>145</v>
      </c>
      <c r="C102" s="54">
        <v>12</v>
      </c>
      <c r="D102" s="54">
        <v>8.2100000000000009</v>
      </c>
      <c r="E102" s="54">
        <v>8.2899999999999991</v>
      </c>
      <c r="F102" s="54">
        <v>8.32</v>
      </c>
      <c r="G102" s="54">
        <v>8.36</v>
      </c>
      <c r="H102" s="54">
        <v>8.39</v>
      </c>
      <c r="I102" s="54">
        <v>8.43</v>
      </c>
      <c r="J102" s="54">
        <v>8.4700000000000006</v>
      </c>
      <c r="K102" s="54">
        <v>8.51</v>
      </c>
      <c r="L102" s="54">
        <v>8.5299999999999994</v>
      </c>
      <c r="M102" s="54">
        <v>8.61</v>
      </c>
      <c r="N102" s="54">
        <v>8.69</v>
      </c>
      <c r="O102" s="55"/>
      <c r="P102" s="56"/>
      <c r="Q102" s="56"/>
      <c r="R102" s="56"/>
      <c r="S102" s="56"/>
      <c r="T102" s="57"/>
    </row>
    <row r="103" spans="1:20" ht="13.5" customHeight="1" x14ac:dyDescent="0.2">
      <c r="A103" s="53" t="s">
        <v>146</v>
      </c>
      <c r="B103" s="54" t="s">
        <v>147</v>
      </c>
      <c r="C103" s="54">
        <v>6</v>
      </c>
      <c r="D103" s="54">
        <v>38.25</v>
      </c>
      <c r="E103" s="54">
        <v>38.58</v>
      </c>
      <c r="F103" s="54">
        <v>38.76</v>
      </c>
      <c r="G103" s="54">
        <v>38.93</v>
      </c>
      <c r="H103" s="54">
        <v>39.1</v>
      </c>
      <c r="I103" s="54">
        <v>39.270000000000003</v>
      </c>
      <c r="J103" s="54">
        <v>39.450000000000003</v>
      </c>
      <c r="K103" s="54">
        <v>39.619999999999997</v>
      </c>
      <c r="L103" s="54">
        <v>39.71</v>
      </c>
      <c r="M103" s="54">
        <v>40.1</v>
      </c>
      <c r="N103" s="54">
        <v>40.47</v>
      </c>
      <c r="O103" s="55"/>
      <c r="P103" s="56"/>
      <c r="Q103" s="56"/>
      <c r="R103" s="56"/>
      <c r="S103" s="56"/>
      <c r="T103" s="57"/>
    </row>
    <row r="104" spans="1:20" ht="13.5" customHeight="1" x14ac:dyDescent="0.2">
      <c r="A104" s="53">
        <v>519</v>
      </c>
      <c r="B104" s="54" t="s">
        <v>148</v>
      </c>
      <c r="C104" s="54">
        <v>12</v>
      </c>
      <c r="D104" s="54">
        <v>7.92</v>
      </c>
      <c r="E104" s="54">
        <v>8</v>
      </c>
      <c r="F104" s="54">
        <v>8.0299999999999994</v>
      </c>
      <c r="G104" s="54">
        <v>8.06</v>
      </c>
      <c r="H104" s="54">
        <v>8.1</v>
      </c>
      <c r="I104" s="54">
        <v>8.14</v>
      </c>
      <c r="J104" s="54">
        <v>8.17</v>
      </c>
      <c r="K104" s="54">
        <v>8.2100000000000009</v>
      </c>
      <c r="L104" s="54">
        <v>8.23</v>
      </c>
      <c r="M104" s="54">
        <v>8.31</v>
      </c>
      <c r="N104" s="54">
        <v>8.3800000000000008</v>
      </c>
      <c r="O104" s="55"/>
      <c r="P104" s="56"/>
      <c r="Q104" s="56"/>
      <c r="R104" s="56"/>
      <c r="S104" s="56"/>
      <c r="T104" s="57"/>
    </row>
    <row r="105" spans="1:20" ht="13.5" customHeight="1" x14ac:dyDescent="0.2">
      <c r="A105" s="53">
        <v>521</v>
      </c>
      <c r="B105" s="54" t="s">
        <v>149</v>
      </c>
      <c r="C105" s="54">
        <v>12</v>
      </c>
      <c r="D105" s="54">
        <v>5.88</v>
      </c>
      <c r="E105" s="54">
        <v>5.93</v>
      </c>
      <c r="F105" s="54">
        <v>5.96</v>
      </c>
      <c r="G105" s="54">
        <v>5.99</v>
      </c>
      <c r="H105" s="54">
        <v>6.02</v>
      </c>
      <c r="I105" s="54">
        <v>6.04</v>
      </c>
      <c r="J105" s="54">
        <v>6.06</v>
      </c>
      <c r="K105" s="54">
        <v>6.09</v>
      </c>
      <c r="L105" s="54">
        <v>6.1</v>
      </c>
      <c r="M105" s="54">
        <v>6.17</v>
      </c>
      <c r="N105" s="54">
        <v>6.22</v>
      </c>
      <c r="O105" s="55"/>
      <c r="P105" s="56"/>
      <c r="Q105" s="56"/>
      <c r="R105" s="56"/>
      <c r="S105" s="56"/>
      <c r="T105" s="57"/>
    </row>
    <row r="106" spans="1:20" ht="13.5" customHeight="1" x14ac:dyDescent="0.2">
      <c r="A106" s="53">
        <v>522</v>
      </c>
      <c r="B106" s="54" t="s">
        <v>150</v>
      </c>
      <c r="C106" s="54">
        <v>12</v>
      </c>
      <c r="D106" s="54">
        <v>13.64</v>
      </c>
      <c r="E106" s="54">
        <v>13.76</v>
      </c>
      <c r="F106" s="54">
        <v>13.82</v>
      </c>
      <c r="G106" s="54">
        <v>13.89</v>
      </c>
      <c r="H106" s="54">
        <v>13.94</v>
      </c>
      <c r="I106" s="54">
        <v>14</v>
      </c>
      <c r="J106" s="54">
        <v>14.07</v>
      </c>
      <c r="K106" s="54">
        <v>14.13</v>
      </c>
      <c r="L106" s="54">
        <v>14.16</v>
      </c>
      <c r="M106" s="54">
        <v>14.3</v>
      </c>
      <c r="N106" s="54">
        <v>14.43</v>
      </c>
      <c r="O106" s="55"/>
      <c r="P106" s="56"/>
      <c r="Q106" s="56"/>
      <c r="R106" s="56"/>
      <c r="S106" s="56"/>
      <c r="T106" s="57"/>
    </row>
    <row r="107" spans="1:20" ht="13.5" customHeight="1" x14ac:dyDescent="0.2">
      <c r="A107" s="53">
        <v>523</v>
      </c>
      <c r="B107" s="54" t="s">
        <v>151</v>
      </c>
      <c r="C107" s="54">
        <v>6</v>
      </c>
      <c r="D107" s="54">
        <v>28.65</v>
      </c>
      <c r="E107" s="54">
        <v>28.9</v>
      </c>
      <c r="F107" s="54">
        <v>29.03</v>
      </c>
      <c r="G107" s="54">
        <v>29.16</v>
      </c>
      <c r="H107" s="54">
        <v>29.29</v>
      </c>
      <c r="I107" s="54">
        <v>29.42</v>
      </c>
      <c r="J107" s="54">
        <v>29.54</v>
      </c>
      <c r="K107" s="54">
        <v>29.68</v>
      </c>
      <c r="L107" s="54">
        <v>29.76</v>
      </c>
      <c r="M107" s="54">
        <v>30.03</v>
      </c>
      <c r="N107" s="54">
        <v>30.32</v>
      </c>
      <c r="O107" s="55"/>
      <c r="P107" s="56"/>
      <c r="Q107" s="56"/>
      <c r="R107" s="56"/>
      <c r="S107" s="56"/>
      <c r="T107" s="57"/>
    </row>
    <row r="108" spans="1:20" ht="13.5" customHeight="1" x14ac:dyDescent="0.2">
      <c r="A108" s="53">
        <v>528</v>
      </c>
      <c r="B108" s="54" t="s">
        <v>152</v>
      </c>
      <c r="C108" s="54">
        <v>24</v>
      </c>
      <c r="D108" s="54">
        <v>4.8</v>
      </c>
      <c r="E108" s="54">
        <v>4.8499999999999996</v>
      </c>
      <c r="F108" s="54">
        <v>4.87</v>
      </c>
      <c r="G108" s="54">
        <v>4.8899999999999997</v>
      </c>
      <c r="H108" s="54">
        <v>4.91</v>
      </c>
      <c r="I108" s="54">
        <v>4.93</v>
      </c>
      <c r="J108" s="54">
        <v>4.95</v>
      </c>
      <c r="K108" s="54">
        <v>4.97</v>
      </c>
      <c r="L108" s="54">
        <v>4.9800000000000004</v>
      </c>
      <c r="M108" s="54">
        <v>5.03</v>
      </c>
      <c r="N108" s="54">
        <v>5.08</v>
      </c>
      <c r="O108" s="55"/>
      <c r="P108" s="56"/>
      <c r="Q108" s="56"/>
      <c r="R108" s="56"/>
      <c r="S108" s="56"/>
      <c r="T108" s="57"/>
    </row>
    <row r="109" spans="1:20" ht="13.5" customHeight="1" x14ac:dyDescent="0.2">
      <c r="A109" s="53">
        <v>531</v>
      </c>
      <c r="B109" s="54" t="s">
        <v>153</v>
      </c>
      <c r="C109" s="54">
        <v>18</v>
      </c>
      <c r="D109" s="54">
        <v>2.86</v>
      </c>
      <c r="E109" s="54">
        <v>2.89</v>
      </c>
      <c r="F109" s="54">
        <v>2.91</v>
      </c>
      <c r="G109" s="54">
        <v>2.92</v>
      </c>
      <c r="H109" s="54">
        <v>2.93</v>
      </c>
      <c r="I109" s="54">
        <v>2.94</v>
      </c>
      <c r="J109" s="54">
        <v>2.95</v>
      </c>
      <c r="K109" s="54">
        <v>2.97</v>
      </c>
      <c r="L109" s="54">
        <v>2.97</v>
      </c>
      <c r="M109" s="54">
        <v>3</v>
      </c>
      <c r="N109" s="54">
        <v>3.04</v>
      </c>
      <c r="O109" s="55"/>
      <c r="P109" s="56"/>
      <c r="Q109" s="56"/>
      <c r="R109" s="56"/>
      <c r="S109" s="56"/>
      <c r="T109" s="57"/>
    </row>
    <row r="110" spans="1:20" ht="13.5" customHeight="1" x14ac:dyDescent="0.2">
      <c r="A110" s="53">
        <v>538</v>
      </c>
      <c r="B110" s="54" t="s">
        <v>154</v>
      </c>
      <c r="C110" s="54">
        <v>12</v>
      </c>
      <c r="D110" s="54">
        <v>7.92</v>
      </c>
      <c r="E110" s="54">
        <v>8</v>
      </c>
      <c r="F110" s="54">
        <v>8.0299999999999994</v>
      </c>
      <c r="G110" s="54">
        <v>8.06</v>
      </c>
      <c r="H110" s="54">
        <v>8.1</v>
      </c>
      <c r="I110" s="54">
        <v>8.14</v>
      </c>
      <c r="J110" s="54">
        <v>8.17</v>
      </c>
      <c r="K110" s="54">
        <v>8.2100000000000009</v>
      </c>
      <c r="L110" s="54">
        <v>8.23</v>
      </c>
      <c r="M110" s="54">
        <v>8.31</v>
      </c>
      <c r="N110" s="54">
        <v>8.3800000000000008</v>
      </c>
      <c r="O110" s="55"/>
      <c r="P110" s="56"/>
      <c r="Q110" s="56"/>
      <c r="R110" s="56"/>
      <c r="S110" s="56"/>
      <c r="T110" s="57"/>
    </row>
    <row r="111" spans="1:20" ht="13.5" customHeight="1" x14ac:dyDescent="0.2">
      <c r="A111" s="53">
        <v>541</v>
      </c>
      <c r="B111" s="54" t="s">
        <v>115</v>
      </c>
      <c r="C111" s="54">
        <v>12</v>
      </c>
      <c r="D111" s="54">
        <v>6.17</v>
      </c>
      <c r="E111" s="54">
        <v>6.22</v>
      </c>
      <c r="F111" s="54">
        <v>6.25</v>
      </c>
      <c r="G111" s="54">
        <v>6.28</v>
      </c>
      <c r="H111" s="54">
        <v>6.3</v>
      </c>
      <c r="I111" s="54">
        <v>6.34</v>
      </c>
      <c r="J111" s="54">
        <v>6.36</v>
      </c>
      <c r="K111" s="54">
        <v>6.39</v>
      </c>
      <c r="L111" s="54">
        <v>6.41</v>
      </c>
      <c r="M111" s="54">
        <v>6.46</v>
      </c>
      <c r="N111" s="54">
        <v>6.53</v>
      </c>
      <c r="O111" s="55"/>
      <c r="P111" s="56"/>
      <c r="Q111" s="56"/>
      <c r="R111" s="56"/>
      <c r="S111" s="56"/>
      <c r="T111" s="57"/>
    </row>
    <row r="112" spans="1:20" ht="13.5" customHeight="1" x14ac:dyDescent="0.2">
      <c r="A112" s="53">
        <v>542</v>
      </c>
      <c r="B112" s="54" t="s">
        <v>111</v>
      </c>
      <c r="C112" s="54">
        <v>12</v>
      </c>
      <c r="D112" s="54">
        <v>7.88</v>
      </c>
      <c r="E112" s="54">
        <v>7.96</v>
      </c>
      <c r="F112" s="54">
        <v>7.99</v>
      </c>
      <c r="G112" s="54">
        <v>8.02</v>
      </c>
      <c r="H112" s="54">
        <v>8.06</v>
      </c>
      <c r="I112" s="54">
        <v>8.09</v>
      </c>
      <c r="J112" s="54">
        <v>8.1300000000000008</v>
      </c>
      <c r="K112" s="54">
        <v>8.17</v>
      </c>
      <c r="L112" s="54">
        <v>8.19</v>
      </c>
      <c r="M112" s="54">
        <v>8.26</v>
      </c>
      <c r="N112" s="54">
        <v>8.34</v>
      </c>
      <c r="O112" s="55"/>
      <c r="P112" s="56"/>
      <c r="Q112" s="56"/>
      <c r="R112" s="56"/>
      <c r="S112" s="56"/>
      <c r="T112" s="57"/>
    </row>
    <row r="113" spans="1:20" ht="13.5" customHeight="1" x14ac:dyDescent="0.2">
      <c r="A113" s="53" t="s">
        <v>155</v>
      </c>
      <c r="B113" s="54" t="s">
        <v>156</v>
      </c>
      <c r="C113" s="54">
        <v>12</v>
      </c>
      <c r="D113" s="54">
        <v>10.89</v>
      </c>
      <c r="E113" s="54">
        <v>10.99</v>
      </c>
      <c r="F113" s="54">
        <v>11.04</v>
      </c>
      <c r="G113" s="54">
        <v>11.1</v>
      </c>
      <c r="H113" s="54">
        <v>11.14</v>
      </c>
      <c r="I113" s="54">
        <v>11.19</v>
      </c>
      <c r="J113" s="54">
        <v>11.24</v>
      </c>
      <c r="K113" s="54">
        <v>11.29</v>
      </c>
      <c r="L113" s="54">
        <v>11.32</v>
      </c>
      <c r="M113" s="54">
        <v>11.43</v>
      </c>
      <c r="N113" s="54">
        <v>11.53</v>
      </c>
      <c r="O113" s="55"/>
      <c r="P113" s="56"/>
      <c r="Q113" s="56"/>
      <c r="R113" s="56"/>
      <c r="S113" s="56"/>
      <c r="T113" s="57"/>
    </row>
    <row r="114" spans="1:20" ht="13.5" customHeight="1" x14ac:dyDescent="0.2">
      <c r="A114" s="53" t="s">
        <v>157</v>
      </c>
      <c r="B114" s="54" t="s">
        <v>158</v>
      </c>
      <c r="C114" s="54">
        <v>12</v>
      </c>
      <c r="D114" s="54">
        <v>10.89</v>
      </c>
      <c r="E114" s="54">
        <v>10.99</v>
      </c>
      <c r="F114" s="54">
        <v>11.04</v>
      </c>
      <c r="G114" s="54">
        <v>11.1</v>
      </c>
      <c r="H114" s="54">
        <v>11.14</v>
      </c>
      <c r="I114" s="54">
        <v>11.19</v>
      </c>
      <c r="J114" s="54">
        <v>11.24</v>
      </c>
      <c r="K114" s="54">
        <v>11.29</v>
      </c>
      <c r="L114" s="54">
        <v>11.32</v>
      </c>
      <c r="M114" s="54">
        <v>11.43</v>
      </c>
      <c r="N114" s="54">
        <v>11.53</v>
      </c>
      <c r="O114" s="55"/>
      <c r="P114" s="56"/>
      <c r="Q114" s="56"/>
      <c r="R114" s="56"/>
      <c r="S114" s="56"/>
      <c r="T114" s="57"/>
    </row>
    <row r="115" spans="1:20" ht="13.5" customHeight="1" x14ac:dyDescent="0.2">
      <c r="A115" s="53">
        <v>543</v>
      </c>
      <c r="B115" s="54" t="s">
        <v>113</v>
      </c>
      <c r="C115" s="54">
        <v>6</v>
      </c>
      <c r="D115" s="54">
        <v>10.94</v>
      </c>
      <c r="E115" s="54">
        <v>11.03</v>
      </c>
      <c r="F115" s="54">
        <v>11.09</v>
      </c>
      <c r="G115" s="54">
        <v>11.13</v>
      </c>
      <c r="H115" s="54">
        <v>11.18</v>
      </c>
      <c r="I115" s="54">
        <v>11.24</v>
      </c>
      <c r="J115" s="54">
        <v>11.28</v>
      </c>
      <c r="K115" s="54">
        <v>11.33</v>
      </c>
      <c r="L115" s="54">
        <v>11.36</v>
      </c>
      <c r="M115" s="54">
        <v>11.47</v>
      </c>
      <c r="N115" s="54">
        <v>11.58</v>
      </c>
      <c r="O115" s="55"/>
      <c r="P115" s="56"/>
      <c r="Q115" s="56"/>
      <c r="R115" s="56"/>
      <c r="S115" s="56"/>
      <c r="T115" s="57"/>
    </row>
    <row r="116" spans="1:20" ht="13.5" customHeight="1" x14ac:dyDescent="0.2">
      <c r="A116" s="53" t="s">
        <v>159</v>
      </c>
      <c r="B116" s="54" t="s">
        <v>160</v>
      </c>
      <c r="C116" s="54">
        <v>6</v>
      </c>
      <c r="D116" s="54">
        <v>13.02</v>
      </c>
      <c r="E116" s="54">
        <v>13.14</v>
      </c>
      <c r="F116" s="54">
        <v>13.2</v>
      </c>
      <c r="G116" s="54">
        <v>13.26</v>
      </c>
      <c r="H116" s="54">
        <v>13.31</v>
      </c>
      <c r="I116" s="54">
        <v>13.38</v>
      </c>
      <c r="J116" s="54">
        <v>13.43</v>
      </c>
      <c r="K116" s="54">
        <v>13.49</v>
      </c>
      <c r="L116" s="54">
        <v>13.53</v>
      </c>
      <c r="M116" s="54">
        <v>13.65</v>
      </c>
      <c r="N116" s="54">
        <v>13.78</v>
      </c>
      <c r="O116" s="55"/>
      <c r="P116" s="56"/>
      <c r="Q116" s="56"/>
      <c r="R116" s="56"/>
      <c r="S116" s="56"/>
      <c r="T116" s="57"/>
    </row>
    <row r="117" spans="1:20" ht="13.5" customHeight="1" x14ac:dyDescent="0.2">
      <c r="A117" s="53">
        <v>544</v>
      </c>
      <c r="B117" s="54" t="s">
        <v>161</v>
      </c>
      <c r="C117" s="54">
        <v>6</v>
      </c>
      <c r="D117" s="54">
        <v>15.71</v>
      </c>
      <c r="E117" s="54">
        <v>15.85</v>
      </c>
      <c r="F117" s="54">
        <v>15.92</v>
      </c>
      <c r="G117" s="54">
        <v>15.99</v>
      </c>
      <c r="H117" s="54">
        <v>16.059999999999999</v>
      </c>
      <c r="I117" s="54">
        <v>16.13</v>
      </c>
      <c r="J117" s="54">
        <v>16.2</v>
      </c>
      <c r="K117" s="54">
        <v>16.27</v>
      </c>
      <c r="L117" s="54">
        <v>16.32</v>
      </c>
      <c r="M117" s="54">
        <v>16.46</v>
      </c>
      <c r="N117" s="54">
        <v>16.62</v>
      </c>
      <c r="O117" s="55"/>
      <c r="P117" s="56"/>
      <c r="Q117" s="56"/>
      <c r="R117" s="56"/>
      <c r="S117" s="56"/>
      <c r="T117" s="57"/>
    </row>
    <row r="118" spans="1:20" ht="13.5" customHeight="1" x14ac:dyDescent="0.2">
      <c r="A118" s="53">
        <v>545</v>
      </c>
      <c r="B118" s="54" t="s">
        <v>162</v>
      </c>
      <c r="C118" s="54">
        <v>6</v>
      </c>
      <c r="D118" s="54">
        <v>24.61</v>
      </c>
      <c r="E118" s="54">
        <v>24.83</v>
      </c>
      <c r="F118" s="54">
        <v>24.93</v>
      </c>
      <c r="G118" s="54">
        <v>25.05</v>
      </c>
      <c r="H118" s="54">
        <v>25.16</v>
      </c>
      <c r="I118" s="54">
        <v>25.26</v>
      </c>
      <c r="J118" s="54">
        <v>25.38</v>
      </c>
      <c r="K118" s="54">
        <v>25.49</v>
      </c>
      <c r="L118" s="54">
        <v>25.55</v>
      </c>
      <c r="M118" s="54">
        <v>25.79</v>
      </c>
      <c r="N118" s="54">
        <v>26.04</v>
      </c>
      <c r="O118" s="55"/>
      <c r="P118" s="56"/>
      <c r="Q118" s="56"/>
      <c r="R118" s="56"/>
      <c r="S118" s="56"/>
      <c r="T118" s="57"/>
    </row>
    <row r="119" spans="1:20" ht="13.5" customHeight="1" x14ac:dyDescent="0.2">
      <c r="A119" s="53">
        <v>562</v>
      </c>
      <c r="B119" s="54" t="s">
        <v>115</v>
      </c>
      <c r="C119" s="54">
        <v>12</v>
      </c>
      <c r="D119" s="54">
        <v>5.44</v>
      </c>
      <c r="E119" s="54">
        <v>5.5</v>
      </c>
      <c r="F119" s="54">
        <v>5.52</v>
      </c>
      <c r="G119" s="54">
        <v>5.54</v>
      </c>
      <c r="H119" s="54">
        <v>5.56</v>
      </c>
      <c r="I119" s="54">
        <v>5.59</v>
      </c>
      <c r="J119" s="54">
        <v>5.61</v>
      </c>
      <c r="K119" s="54">
        <v>5.63</v>
      </c>
      <c r="L119" s="54">
        <v>5.66</v>
      </c>
      <c r="M119" s="54">
        <v>5.71</v>
      </c>
      <c r="N119" s="54">
        <v>5.76</v>
      </c>
      <c r="O119" s="55"/>
      <c r="P119" s="56"/>
      <c r="Q119" s="56"/>
      <c r="R119" s="56"/>
      <c r="S119" s="56"/>
      <c r="T119" s="57"/>
    </row>
    <row r="120" spans="1:20" ht="13.5" customHeight="1" x14ac:dyDescent="0.2">
      <c r="A120" s="53">
        <v>563</v>
      </c>
      <c r="B120" s="54" t="s">
        <v>111</v>
      </c>
      <c r="C120" s="54">
        <v>12</v>
      </c>
      <c r="D120" s="54">
        <v>7.48</v>
      </c>
      <c r="E120" s="54">
        <v>7.54</v>
      </c>
      <c r="F120" s="54">
        <v>7.57</v>
      </c>
      <c r="G120" s="54">
        <v>7.6</v>
      </c>
      <c r="H120" s="54">
        <v>7.64</v>
      </c>
      <c r="I120" s="54">
        <v>7.67</v>
      </c>
      <c r="J120" s="54">
        <v>7.7</v>
      </c>
      <c r="K120" s="54">
        <v>7.74</v>
      </c>
      <c r="L120" s="54">
        <v>7.75</v>
      </c>
      <c r="M120" s="54">
        <v>7.83</v>
      </c>
      <c r="N120" s="54">
        <v>7.9</v>
      </c>
      <c r="O120" s="55"/>
      <c r="P120" s="56"/>
      <c r="Q120" s="56"/>
      <c r="R120" s="56"/>
      <c r="S120" s="56"/>
      <c r="T120" s="57"/>
    </row>
    <row r="121" spans="1:20" ht="13.5" customHeight="1" x14ac:dyDescent="0.2">
      <c r="A121" s="53">
        <v>564</v>
      </c>
      <c r="B121" s="54" t="s">
        <v>113</v>
      </c>
      <c r="C121" s="54">
        <v>12</v>
      </c>
      <c r="D121" s="54">
        <v>10.89</v>
      </c>
      <c r="E121" s="54">
        <v>10.99</v>
      </c>
      <c r="F121" s="54">
        <v>11.04</v>
      </c>
      <c r="G121" s="54">
        <v>11.1</v>
      </c>
      <c r="H121" s="54">
        <v>11.14</v>
      </c>
      <c r="I121" s="54">
        <v>11.19</v>
      </c>
      <c r="J121" s="54">
        <v>11.24</v>
      </c>
      <c r="K121" s="54">
        <v>11.29</v>
      </c>
      <c r="L121" s="54">
        <v>11.32</v>
      </c>
      <c r="M121" s="54">
        <v>11.43</v>
      </c>
      <c r="N121" s="54">
        <v>11.53</v>
      </c>
      <c r="O121" s="55"/>
      <c r="P121" s="56"/>
      <c r="Q121" s="56"/>
      <c r="R121" s="56"/>
      <c r="S121" s="56"/>
      <c r="T121" s="57"/>
    </row>
    <row r="122" spans="1:20" ht="13.5" customHeight="1" x14ac:dyDescent="0.2">
      <c r="A122" s="53">
        <v>604</v>
      </c>
      <c r="B122" s="54" t="s">
        <v>163</v>
      </c>
      <c r="C122" s="54">
        <v>12</v>
      </c>
      <c r="D122" s="54">
        <v>8.2100000000000009</v>
      </c>
      <c r="E122" s="54">
        <v>8.2899999999999991</v>
      </c>
      <c r="F122" s="54">
        <v>8.32</v>
      </c>
      <c r="G122" s="54">
        <v>8.36</v>
      </c>
      <c r="H122" s="54">
        <v>8.39</v>
      </c>
      <c r="I122" s="54">
        <v>8.43</v>
      </c>
      <c r="J122" s="54">
        <v>8.4700000000000006</v>
      </c>
      <c r="K122" s="54">
        <v>8.51</v>
      </c>
      <c r="L122" s="54">
        <v>8.5299999999999994</v>
      </c>
      <c r="M122" s="54">
        <v>8.61</v>
      </c>
      <c r="N122" s="54">
        <v>8.69</v>
      </c>
      <c r="O122" s="55"/>
      <c r="P122" s="56"/>
      <c r="Q122" s="56"/>
      <c r="R122" s="56"/>
      <c r="S122" s="56"/>
      <c r="T122" s="57"/>
    </row>
    <row r="123" spans="1:20" ht="13.5" customHeight="1" x14ac:dyDescent="0.2">
      <c r="A123" s="53">
        <v>612</v>
      </c>
      <c r="B123" s="54" t="s">
        <v>164</v>
      </c>
      <c r="C123" s="54">
        <v>12</v>
      </c>
      <c r="D123" s="54">
        <v>4.05</v>
      </c>
      <c r="E123" s="54">
        <v>4.08</v>
      </c>
      <c r="F123" s="54">
        <v>4.0999999999999996</v>
      </c>
      <c r="G123" s="54">
        <v>4.1100000000000003</v>
      </c>
      <c r="H123" s="54">
        <v>4.13</v>
      </c>
      <c r="I123" s="54">
        <v>4.1500000000000004</v>
      </c>
      <c r="J123" s="54">
        <v>4.17</v>
      </c>
      <c r="K123" s="54">
        <v>4.1900000000000004</v>
      </c>
      <c r="L123" s="54">
        <v>4.2</v>
      </c>
      <c r="M123" s="54">
        <v>4.24</v>
      </c>
      <c r="N123" s="54">
        <v>4.28</v>
      </c>
      <c r="O123" s="55"/>
      <c r="P123" s="56"/>
      <c r="Q123" s="56"/>
      <c r="R123" s="56"/>
      <c r="S123" s="56"/>
      <c r="T123" s="57"/>
    </row>
    <row r="124" spans="1:20" ht="13.5" customHeight="1" x14ac:dyDescent="0.2">
      <c r="A124" s="53" t="s">
        <v>165</v>
      </c>
      <c r="B124" s="54" t="s">
        <v>166</v>
      </c>
      <c r="C124" s="54">
        <v>12</v>
      </c>
      <c r="D124" s="54">
        <v>5.44</v>
      </c>
      <c r="E124" s="54">
        <v>5.5</v>
      </c>
      <c r="F124" s="54">
        <v>5.52</v>
      </c>
      <c r="G124" s="54">
        <v>5.54</v>
      </c>
      <c r="H124" s="54">
        <v>5.56</v>
      </c>
      <c r="I124" s="54">
        <v>5.59</v>
      </c>
      <c r="J124" s="54">
        <v>5.61</v>
      </c>
      <c r="K124" s="54">
        <v>5.63</v>
      </c>
      <c r="L124" s="54">
        <v>5.66</v>
      </c>
      <c r="M124" s="54">
        <v>5.71</v>
      </c>
      <c r="N124" s="54">
        <v>5.76</v>
      </c>
      <c r="O124" s="55"/>
      <c r="P124" s="56"/>
      <c r="Q124" s="56"/>
      <c r="R124" s="56"/>
      <c r="S124" s="56"/>
      <c r="T124" s="57"/>
    </row>
    <row r="125" spans="1:20" ht="13.5" customHeight="1" x14ac:dyDescent="0.2">
      <c r="A125" s="53">
        <v>617</v>
      </c>
      <c r="B125" s="54" t="s">
        <v>167</v>
      </c>
      <c r="C125" s="54">
        <v>12</v>
      </c>
      <c r="D125" s="54">
        <v>10.28</v>
      </c>
      <c r="E125" s="54">
        <v>10.37</v>
      </c>
      <c r="F125" s="54">
        <v>10.42</v>
      </c>
      <c r="G125" s="54">
        <v>10.47</v>
      </c>
      <c r="H125" s="54">
        <v>10.51</v>
      </c>
      <c r="I125" s="54">
        <v>10.55</v>
      </c>
      <c r="J125" s="54">
        <v>10.61</v>
      </c>
      <c r="K125" s="54">
        <v>10.65</v>
      </c>
      <c r="L125" s="54">
        <v>10.68</v>
      </c>
      <c r="M125" s="54">
        <v>10.78</v>
      </c>
      <c r="N125" s="54">
        <v>10.88</v>
      </c>
      <c r="O125" s="55"/>
      <c r="P125" s="56"/>
      <c r="Q125" s="56"/>
      <c r="R125" s="56"/>
      <c r="S125" s="56"/>
      <c r="T125" s="57"/>
    </row>
    <row r="126" spans="1:20" ht="13.5" customHeight="1" x14ac:dyDescent="0.2">
      <c r="A126" s="53">
        <v>618</v>
      </c>
      <c r="B126" s="54" t="s">
        <v>168</v>
      </c>
      <c r="C126" s="54">
        <v>12</v>
      </c>
      <c r="D126" s="54">
        <v>12.27</v>
      </c>
      <c r="E126" s="54">
        <v>12.38</v>
      </c>
      <c r="F126" s="54">
        <v>12.43</v>
      </c>
      <c r="G126" s="54">
        <v>12.49</v>
      </c>
      <c r="H126" s="54">
        <v>12.55</v>
      </c>
      <c r="I126" s="54">
        <v>12.6</v>
      </c>
      <c r="J126" s="54">
        <v>12.65</v>
      </c>
      <c r="K126" s="54">
        <v>12.71</v>
      </c>
      <c r="L126" s="54">
        <v>12.74</v>
      </c>
      <c r="M126" s="54">
        <v>12.87</v>
      </c>
      <c r="N126" s="54">
        <v>12.98</v>
      </c>
      <c r="O126" s="55"/>
      <c r="P126" s="56"/>
      <c r="Q126" s="56"/>
      <c r="R126" s="56"/>
      <c r="S126" s="56"/>
      <c r="T126" s="57"/>
    </row>
    <row r="127" spans="1:20" ht="13.5" customHeight="1" x14ac:dyDescent="0.2">
      <c r="A127" s="53" t="s">
        <v>169</v>
      </c>
      <c r="B127" s="54" t="s">
        <v>168</v>
      </c>
      <c r="C127" s="54">
        <v>12</v>
      </c>
      <c r="D127" s="54">
        <v>8.8800000000000008</v>
      </c>
      <c r="E127" s="54">
        <v>8.9600000000000009</v>
      </c>
      <c r="F127" s="54">
        <v>9</v>
      </c>
      <c r="G127" s="54">
        <v>9.0399999999999991</v>
      </c>
      <c r="H127" s="54">
        <v>9.08</v>
      </c>
      <c r="I127" s="54">
        <v>9.1199999999999992</v>
      </c>
      <c r="J127" s="54">
        <v>9.16</v>
      </c>
      <c r="K127" s="54">
        <v>9.1999999999999993</v>
      </c>
      <c r="L127" s="54">
        <v>9.2200000000000006</v>
      </c>
      <c r="M127" s="54">
        <v>9.31</v>
      </c>
      <c r="N127" s="54">
        <v>9.4</v>
      </c>
      <c r="O127" s="55"/>
      <c r="P127" s="56"/>
      <c r="Q127" s="56"/>
      <c r="R127" s="56"/>
      <c r="S127" s="56"/>
      <c r="T127" s="57"/>
    </row>
    <row r="128" spans="1:20" ht="13.5" customHeight="1" x14ac:dyDescent="0.2">
      <c r="A128" s="53">
        <v>621</v>
      </c>
      <c r="B128" s="54" t="s">
        <v>170</v>
      </c>
      <c r="C128" s="54">
        <v>12</v>
      </c>
      <c r="D128" s="54">
        <v>3.96</v>
      </c>
      <c r="E128" s="54">
        <v>3.99</v>
      </c>
      <c r="F128" s="54">
        <v>4.0199999999999996</v>
      </c>
      <c r="G128" s="54">
        <v>4.04</v>
      </c>
      <c r="H128" s="54">
        <v>4.05</v>
      </c>
      <c r="I128" s="54">
        <v>4.07</v>
      </c>
      <c r="J128" s="54">
        <v>4.09</v>
      </c>
      <c r="K128" s="54">
        <v>4.0999999999999996</v>
      </c>
      <c r="L128" s="54">
        <v>4.1100000000000003</v>
      </c>
      <c r="M128" s="54">
        <v>4.1500000000000004</v>
      </c>
      <c r="N128" s="54">
        <v>4.2</v>
      </c>
      <c r="O128" s="55"/>
      <c r="P128" s="56"/>
      <c r="Q128" s="56"/>
      <c r="R128" s="56"/>
      <c r="S128" s="56"/>
      <c r="T128" s="57"/>
    </row>
    <row r="129" spans="1:20" ht="13.5" customHeight="1" x14ac:dyDescent="0.2">
      <c r="A129" s="53">
        <v>622</v>
      </c>
      <c r="B129" s="54" t="s">
        <v>171</v>
      </c>
      <c r="C129" s="54">
        <v>12</v>
      </c>
      <c r="D129" s="54">
        <v>4.6399999999999997</v>
      </c>
      <c r="E129" s="54">
        <v>4.6900000000000004</v>
      </c>
      <c r="F129" s="54">
        <v>4.71</v>
      </c>
      <c r="G129" s="54">
        <v>4.7300000000000004</v>
      </c>
      <c r="H129" s="54">
        <v>4.75</v>
      </c>
      <c r="I129" s="54">
        <v>4.7699999999999996</v>
      </c>
      <c r="J129" s="54">
        <v>4.79</v>
      </c>
      <c r="K129" s="54">
        <v>4.8099999999999996</v>
      </c>
      <c r="L129" s="54">
        <v>4.82</v>
      </c>
      <c r="M129" s="54">
        <v>4.87</v>
      </c>
      <c r="N129" s="54">
        <v>4.92</v>
      </c>
      <c r="O129" s="55"/>
      <c r="P129" s="56"/>
      <c r="Q129" s="56"/>
      <c r="R129" s="56"/>
      <c r="S129" s="56"/>
      <c r="T129" s="57"/>
    </row>
    <row r="130" spans="1:20" ht="13.5" customHeight="1" x14ac:dyDescent="0.2">
      <c r="A130" s="53">
        <v>623</v>
      </c>
      <c r="B130" s="54" t="s">
        <v>172</v>
      </c>
      <c r="C130" s="54">
        <v>12</v>
      </c>
      <c r="D130" s="54">
        <v>4.78</v>
      </c>
      <c r="E130" s="54">
        <v>4.82</v>
      </c>
      <c r="F130" s="54">
        <v>4.8499999999999996</v>
      </c>
      <c r="G130" s="54">
        <v>4.87</v>
      </c>
      <c r="H130" s="54">
        <v>4.8899999999999997</v>
      </c>
      <c r="I130" s="54">
        <v>4.91</v>
      </c>
      <c r="J130" s="54">
        <v>4.93</v>
      </c>
      <c r="K130" s="54">
        <v>4.95</v>
      </c>
      <c r="L130" s="54">
        <v>4.97</v>
      </c>
      <c r="M130" s="54">
        <v>5.0199999999999996</v>
      </c>
      <c r="N130" s="54">
        <v>5.0599999999999996</v>
      </c>
      <c r="O130" s="55"/>
      <c r="P130" s="56"/>
      <c r="Q130" s="56"/>
      <c r="R130" s="56"/>
      <c r="S130" s="56"/>
      <c r="T130" s="57"/>
    </row>
    <row r="131" spans="1:20" ht="13.5" customHeight="1" x14ac:dyDescent="0.2">
      <c r="A131" s="53">
        <v>635</v>
      </c>
      <c r="B131" s="54" t="s">
        <v>173</v>
      </c>
      <c r="C131" s="54">
        <v>6</v>
      </c>
      <c r="D131" s="54">
        <v>31.4</v>
      </c>
      <c r="E131" s="54">
        <v>31.67</v>
      </c>
      <c r="F131" s="54">
        <v>31.81</v>
      </c>
      <c r="G131" s="54">
        <v>31.95</v>
      </c>
      <c r="H131" s="54">
        <v>32.090000000000003</v>
      </c>
      <c r="I131" s="54">
        <v>32.24</v>
      </c>
      <c r="J131" s="54">
        <v>32.380000000000003</v>
      </c>
      <c r="K131" s="54">
        <v>32.51</v>
      </c>
      <c r="L131" s="54">
        <v>32.6</v>
      </c>
      <c r="M131" s="54">
        <v>32.909999999999997</v>
      </c>
      <c r="N131" s="54">
        <v>33.22</v>
      </c>
      <c r="O131" s="55"/>
      <c r="P131" s="56"/>
      <c r="Q131" s="56"/>
      <c r="R131" s="56"/>
      <c r="S131" s="56"/>
      <c r="T131" s="57"/>
    </row>
    <row r="132" spans="1:20" ht="13.5" customHeight="1" x14ac:dyDescent="0.2">
      <c r="A132" s="53">
        <v>641</v>
      </c>
      <c r="B132" s="54" t="s">
        <v>174</v>
      </c>
      <c r="C132" s="54">
        <v>36</v>
      </c>
      <c r="D132" s="54">
        <v>2.67</v>
      </c>
      <c r="E132" s="54">
        <v>2.69</v>
      </c>
      <c r="F132" s="54">
        <v>2.71</v>
      </c>
      <c r="G132" s="54">
        <v>2.72</v>
      </c>
      <c r="H132" s="54">
        <v>2.74</v>
      </c>
      <c r="I132" s="54">
        <v>2.75</v>
      </c>
      <c r="J132" s="54">
        <v>2.76</v>
      </c>
      <c r="K132" s="54">
        <v>2.77</v>
      </c>
      <c r="L132" s="54">
        <v>2.78</v>
      </c>
      <c r="M132" s="54">
        <v>2.8</v>
      </c>
      <c r="N132" s="54">
        <v>2.83</v>
      </c>
      <c r="O132" s="55"/>
      <c r="P132" s="56"/>
      <c r="Q132" s="56"/>
      <c r="R132" s="56"/>
      <c r="S132" s="56"/>
      <c r="T132" s="57"/>
    </row>
    <row r="133" spans="1:20" ht="13.5" customHeight="1" x14ac:dyDescent="0.2">
      <c r="A133" s="53">
        <v>642</v>
      </c>
      <c r="B133" s="54" t="s">
        <v>175</v>
      </c>
      <c r="C133" s="54">
        <v>24</v>
      </c>
      <c r="D133" s="54">
        <v>4.76</v>
      </c>
      <c r="E133" s="54">
        <v>4.8</v>
      </c>
      <c r="F133" s="54">
        <v>4.82</v>
      </c>
      <c r="G133" s="54">
        <v>4.8499999999999996</v>
      </c>
      <c r="H133" s="54">
        <v>4.87</v>
      </c>
      <c r="I133" s="54">
        <v>4.8899999999999997</v>
      </c>
      <c r="J133" s="54">
        <v>4.91</v>
      </c>
      <c r="K133" s="54">
        <v>4.93</v>
      </c>
      <c r="L133" s="54">
        <v>4.9400000000000004</v>
      </c>
      <c r="M133" s="54">
        <v>4.9800000000000004</v>
      </c>
      <c r="N133" s="54">
        <v>5.04</v>
      </c>
      <c r="O133" s="55"/>
      <c r="P133" s="56"/>
      <c r="Q133" s="56"/>
      <c r="R133" s="56"/>
      <c r="S133" s="56"/>
      <c r="T133" s="57"/>
    </row>
    <row r="134" spans="1:20" ht="13.5" customHeight="1" x14ac:dyDescent="0.2">
      <c r="A134" s="53">
        <v>643</v>
      </c>
      <c r="B134" s="54" t="s">
        <v>176</v>
      </c>
      <c r="C134" s="54">
        <v>12</v>
      </c>
      <c r="D134" s="54">
        <v>6.7</v>
      </c>
      <c r="E134" s="54">
        <v>6.76</v>
      </c>
      <c r="F134" s="54">
        <v>6.79</v>
      </c>
      <c r="G134" s="54">
        <v>6.83</v>
      </c>
      <c r="H134" s="54">
        <v>6.85</v>
      </c>
      <c r="I134" s="54">
        <v>6.88</v>
      </c>
      <c r="J134" s="54">
        <v>6.91</v>
      </c>
      <c r="K134" s="54">
        <v>6.94</v>
      </c>
      <c r="L134" s="54">
        <v>6.97</v>
      </c>
      <c r="M134" s="54">
        <v>7.03</v>
      </c>
      <c r="N134" s="54">
        <v>7.09</v>
      </c>
      <c r="O134" s="55"/>
      <c r="P134" s="56"/>
      <c r="Q134" s="56"/>
      <c r="R134" s="56"/>
      <c r="S134" s="56"/>
      <c r="T134" s="57"/>
    </row>
    <row r="135" spans="1:20" ht="13.5" customHeight="1" x14ac:dyDescent="0.2">
      <c r="A135" s="53">
        <v>644</v>
      </c>
      <c r="B135" s="54" t="s">
        <v>177</v>
      </c>
      <c r="C135" s="54">
        <v>6</v>
      </c>
      <c r="D135" s="54">
        <v>16.38</v>
      </c>
      <c r="E135" s="54">
        <v>16.53</v>
      </c>
      <c r="F135" s="54">
        <v>16.600000000000001</v>
      </c>
      <c r="G135" s="54">
        <v>16.68</v>
      </c>
      <c r="H135" s="54">
        <v>16.739999999999998</v>
      </c>
      <c r="I135" s="54">
        <v>16.82</v>
      </c>
      <c r="J135" s="54">
        <v>16.89</v>
      </c>
      <c r="K135" s="54">
        <v>16.97</v>
      </c>
      <c r="L135" s="54">
        <v>17.010000000000002</v>
      </c>
      <c r="M135" s="54">
        <v>17.170000000000002</v>
      </c>
      <c r="N135" s="54">
        <v>17.34</v>
      </c>
      <c r="O135" s="55"/>
      <c r="P135" s="56"/>
      <c r="Q135" s="56"/>
      <c r="R135" s="56"/>
      <c r="S135" s="56"/>
      <c r="T135" s="57"/>
    </row>
    <row r="136" spans="1:20" ht="13.5" customHeight="1" x14ac:dyDescent="0.2">
      <c r="A136" s="53">
        <v>645</v>
      </c>
      <c r="B136" s="54" t="s">
        <v>178</v>
      </c>
      <c r="C136" s="54">
        <v>6</v>
      </c>
      <c r="D136" s="54">
        <v>25.98</v>
      </c>
      <c r="E136" s="54">
        <v>26.21</v>
      </c>
      <c r="F136" s="54">
        <v>26.33</v>
      </c>
      <c r="G136" s="54">
        <v>26.44</v>
      </c>
      <c r="H136" s="54">
        <v>26.56</v>
      </c>
      <c r="I136" s="54">
        <v>26.68</v>
      </c>
      <c r="J136" s="54">
        <v>26.8</v>
      </c>
      <c r="K136" s="54">
        <v>26.91</v>
      </c>
      <c r="L136" s="54">
        <v>26.98</v>
      </c>
      <c r="M136" s="54">
        <v>27.23</v>
      </c>
      <c r="N136" s="54">
        <v>27.49</v>
      </c>
      <c r="O136" s="55"/>
      <c r="P136" s="56"/>
      <c r="Q136" s="56"/>
      <c r="R136" s="56"/>
      <c r="S136" s="56"/>
      <c r="T136" s="57"/>
    </row>
    <row r="137" spans="1:20" ht="13.5" customHeight="1" x14ac:dyDescent="0.2">
      <c r="A137" s="53">
        <v>646</v>
      </c>
      <c r="B137" s="54" t="s">
        <v>179</v>
      </c>
      <c r="C137" s="54">
        <v>12</v>
      </c>
      <c r="D137" s="54">
        <v>9.5299999999999994</v>
      </c>
      <c r="E137" s="54">
        <v>9.6199999999999992</v>
      </c>
      <c r="F137" s="54">
        <v>9.66</v>
      </c>
      <c r="G137" s="54">
        <v>9.6999999999999993</v>
      </c>
      <c r="H137" s="54">
        <v>9.74</v>
      </c>
      <c r="I137" s="54">
        <v>9.7899999999999991</v>
      </c>
      <c r="J137" s="54">
        <v>9.83</v>
      </c>
      <c r="K137" s="54">
        <v>9.8699999999999992</v>
      </c>
      <c r="L137" s="54">
        <v>9.89</v>
      </c>
      <c r="M137" s="54">
        <v>9.99</v>
      </c>
      <c r="N137" s="54">
        <v>10.09</v>
      </c>
      <c r="O137" s="55"/>
      <c r="P137" s="56"/>
      <c r="Q137" s="56"/>
      <c r="R137" s="56"/>
      <c r="S137" s="56"/>
      <c r="T137" s="57"/>
    </row>
    <row r="138" spans="1:20" ht="13.5" customHeight="1" x14ac:dyDescent="0.2">
      <c r="A138" s="53">
        <v>648</v>
      </c>
      <c r="B138" s="54" t="s">
        <v>180</v>
      </c>
      <c r="C138" s="54">
        <v>6</v>
      </c>
      <c r="D138" s="54">
        <v>14.4</v>
      </c>
      <c r="E138" s="54">
        <v>14.53</v>
      </c>
      <c r="F138" s="54">
        <v>14.59</v>
      </c>
      <c r="G138" s="54">
        <v>14.65</v>
      </c>
      <c r="H138" s="54">
        <v>14.72</v>
      </c>
      <c r="I138" s="54">
        <v>14.78</v>
      </c>
      <c r="J138" s="54">
        <v>14.85</v>
      </c>
      <c r="K138" s="54">
        <v>14.91</v>
      </c>
      <c r="L138" s="54">
        <v>14.95</v>
      </c>
      <c r="M138" s="54">
        <v>15.09</v>
      </c>
      <c r="N138" s="54">
        <v>15.23</v>
      </c>
      <c r="O138" s="55"/>
      <c r="P138" s="56"/>
      <c r="Q138" s="56"/>
      <c r="R138" s="56"/>
      <c r="S138" s="56"/>
      <c r="T138" s="57"/>
    </row>
    <row r="139" spans="1:20" ht="13.5" customHeight="1" x14ac:dyDescent="0.2">
      <c r="A139" s="53">
        <v>651</v>
      </c>
      <c r="B139" s="54" t="s">
        <v>181</v>
      </c>
      <c r="C139" s="54">
        <v>12</v>
      </c>
      <c r="D139" s="54">
        <v>4.6399999999999997</v>
      </c>
      <c r="E139" s="54">
        <v>4.6900000000000004</v>
      </c>
      <c r="F139" s="54">
        <v>4.71</v>
      </c>
      <c r="G139" s="54">
        <v>4.7300000000000004</v>
      </c>
      <c r="H139" s="54">
        <v>4.75</v>
      </c>
      <c r="I139" s="54">
        <v>4.7699999999999996</v>
      </c>
      <c r="J139" s="54">
        <v>4.79</v>
      </c>
      <c r="K139" s="54">
        <v>4.8099999999999996</v>
      </c>
      <c r="L139" s="54">
        <v>4.82</v>
      </c>
      <c r="M139" s="54">
        <v>4.87</v>
      </c>
      <c r="N139" s="54">
        <v>4.92</v>
      </c>
      <c r="O139" s="55"/>
      <c r="P139" s="56"/>
      <c r="Q139" s="56"/>
      <c r="R139" s="56"/>
      <c r="S139" s="56"/>
      <c r="T139" s="57"/>
    </row>
    <row r="140" spans="1:20" ht="13.5" customHeight="1" x14ac:dyDescent="0.2">
      <c r="A140" s="53">
        <v>654</v>
      </c>
      <c r="B140" s="54" t="s">
        <v>182</v>
      </c>
      <c r="C140" s="54">
        <v>6</v>
      </c>
      <c r="D140" s="54">
        <v>18.940000000000001</v>
      </c>
      <c r="E140" s="54">
        <v>19.100000000000001</v>
      </c>
      <c r="F140" s="54">
        <v>19.18</v>
      </c>
      <c r="G140" s="54">
        <v>19.27</v>
      </c>
      <c r="H140" s="54">
        <v>19.350000000000001</v>
      </c>
      <c r="I140" s="54">
        <v>19.440000000000001</v>
      </c>
      <c r="J140" s="54">
        <v>19.52</v>
      </c>
      <c r="K140" s="54">
        <v>19.61</v>
      </c>
      <c r="L140" s="54">
        <v>19.66</v>
      </c>
      <c r="M140" s="54">
        <v>19.84</v>
      </c>
      <c r="N140" s="54">
        <v>20.03</v>
      </c>
      <c r="O140" s="55"/>
      <c r="P140" s="56"/>
      <c r="Q140" s="56"/>
      <c r="R140" s="56"/>
      <c r="S140" s="56"/>
      <c r="T140" s="57"/>
    </row>
    <row r="141" spans="1:20" ht="13.5" customHeight="1" x14ac:dyDescent="0.2">
      <c r="A141" s="53">
        <v>657</v>
      </c>
      <c r="B141" s="54" t="s">
        <v>183</v>
      </c>
      <c r="C141" s="54">
        <v>24</v>
      </c>
      <c r="D141" s="54">
        <v>3.97</v>
      </c>
      <c r="E141" s="54">
        <v>4.0199999999999996</v>
      </c>
      <c r="F141" s="54">
        <v>4.03</v>
      </c>
      <c r="G141" s="54">
        <v>4.05</v>
      </c>
      <c r="H141" s="54">
        <v>4.07</v>
      </c>
      <c r="I141" s="54">
        <v>4.08</v>
      </c>
      <c r="J141" s="54">
        <v>4.0999999999999996</v>
      </c>
      <c r="K141" s="54">
        <v>4.12</v>
      </c>
      <c r="L141" s="54">
        <v>4.13</v>
      </c>
      <c r="M141" s="54">
        <v>4.16</v>
      </c>
      <c r="N141" s="54">
        <v>4.21</v>
      </c>
      <c r="O141" s="55"/>
      <c r="P141" s="56"/>
      <c r="Q141" s="56"/>
      <c r="R141" s="56"/>
      <c r="S141" s="56"/>
      <c r="T141" s="57"/>
    </row>
    <row r="142" spans="1:20" ht="13.5" customHeight="1" x14ac:dyDescent="0.2">
      <c r="A142" s="53">
        <v>658</v>
      </c>
      <c r="B142" s="54" t="s">
        <v>184</v>
      </c>
      <c r="C142" s="54">
        <v>12</v>
      </c>
      <c r="D142" s="54">
        <v>7.92</v>
      </c>
      <c r="E142" s="54">
        <v>8</v>
      </c>
      <c r="F142" s="54">
        <v>8.0299999999999994</v>
      </c>
      <c r="G142" s="54">
        <v>8.06</v>
      </c>
      <c r="H142" s="54">
        <v>8.1</v>
      </c>
      <c r="I142" s="54">
        <v>8.14</v>
      </c>
      <c r="J142" s="54">
        <v>8.17</v>
      </c>
      <c r="K142" s="54">
        <v>8.2100000000000009</v>
      </c>
      <c r="L142" s="54">
        <v>8.23</v>
      </c>
      <c r="M142" s="54">
        <v>8.31</v>
      </c>
      <c r="N142" s="54">
        <v>8.3800000000000008</v>
      </c>
      <c r="O142" s="55"/>
      <c r="P142" s="56"/>
      <c r="Q142" s="56"/>
      <c r="R142" s="56"/>
      <c r="S142" s="56"/>
      <c r="T142" s="57"/>
    </row>
    <row r="143" spans="1:20" ht="13.5" customHeight="1" x14ac:dyDescent="0.2">
      <c r="A143" s="53" t="s">
        <v>185</v>
      </c>
      <c r="B143" s="54" t="s">
        <v>186</v>
      </c>
      <c r="C143" s="54">
        <v>6</v>
      </c>
      <c r="D143" s="54">
        <v>23.24</v>
      </c>
      <c r="E143" s="54">
        <v>23.44</v>
      </c>
      <c r="F143" s="54">
        <v>23.55</v>
      </c>
      <c r="G143" s="54">
        <v>23.65</v>
      </c>
      <c r="H143" s="54">
        <v>23.75</v>
      </c>
      <c r="I143" s="54">
        <v>23.86</v>
      </c>
      <c r="J143" s="54">
        <v>23.96</v>
      </c>
      <c r="K143" s="54">
        <v>24.07</v>
      </c>
      <c r="L143" s="54">
        <v>24.13</v>
      </c>
      <c r="M143" s="54">
        <v>24.36</v>
      </c>
      <c r="N143" s="54">
        <v>24.59</v>
      </c>
      <c r="O143" s="55"/>
      <c r="P143" s="56"/>
      <c r="Q143" s="56"/>
      <c r="R143" s="56"/>
      <c r="S143" s="56"/>
      <c r="T143" s="57"/>
    </row>
    <row r="144" spans="1:20" ht="13.5" customHeight="1" x14ac:dyDescent="0.2">
      <c r="A144" s="53">
        <v>757</v>
      </c>
      <c r="B144" s="54" t="s">
        <v>187</v>
      </c>
      <c r="C144" s="54">
        <v>3</v>
      </c>
      <c r="D144" s="54">
        <v>78.010000000000005</v>
      </c>
      <c r="E144" s="54">
        <v>78.69</v>
      </c>
      <c r="F144" s="54">
        <v>79.040000000000006</v>
      </c>
      <c r="G144" s="54">
        <v>79.400000000000006</v>
      </c>
      <c r="H144" s="54">
        <v>79.739999999999995</v>
      </c>
      <c r="I144" s="54">
        <v>80.09</v>
      </c>
      <c r="J144" s="54">
        <v>80.44</v>
      </c>
      <c r="K144" s="54">
        <v>80.8</v>
      </c>
      <c r="L144" s="54">
        <v>81</v>
      </c>
      <c r="M144" s="54">
        <v>81.77</v>
      </c>
      <c r="N144" s="54">
        <v>82.54</v>
      </c>
      <c r="O144" s="55"/>
      <c r="P144" s="56"/>
      <c r="Q144" s="56"/>
      <c r="R144" s="56"/>
      <c r="S144" s="56"/>
      <c r="T144" s="57"/>
    </row>
    <row r="145" spans="1:20" ht="13.5" customHeight="1" x14ac:dyDescent="0.2">
      <c r="A145" s="53" t="s">
        <v>188</v>
      </c>
      <c r="B145" s="54" t="s">
        <v>189</v>
      </c>
      <c r="C145" s="54">
        <v>3</v>
      </c>
      <c r="D145" s="54">
        <v>82.12</v>
      </c>
      <c r="E145" s="54">
        <v>82.85</v>
      </c>
      <c r="F145" s="54">
        <v>83.21</v>
      </c>
      <c r="G145" s="54">
        <v>83.58</v>
      </c>
      <c r="H145" s="54">
        <v>83.94</v>
      </c>
      <c r="I145" s="54">
        <v>84.32</v>
      </c>
      <c r="J145" s="54">
        <v>84.69</v>
      </c>
      <c r="K145" s="54">
        <v>85.06</v>
      </c>
      <c r="L145" s="54">
        <v>85.27</v>
      </c>
      <c r="M145" s="54">
        <v>86.07</v>
      </c>
      <c r="N145" s="54">
        <v>86.89</v>
      </c>
      <c r="O145" s="55"/>
      <c r="P145" s="56"/>
      <c r="Q145" s="56"/>
      <c r="R145" s="56"/>
      <c r="S145" s="56"/>
      <c r="T145" s="57"/>
    </row>
    <row r="146" spans="1:20" ht="13.5" customHeight="1" x14ac:dyDescent="0.2">
      <c r="A146" s="53" t="s">
        <v>190</v>
      </c>
      <c r="B146" s="54" t="s">
        <v>191</v>
      </c>
      <c r="C146" s="54">
        <v>3</v>
      </c>
      <c r="D146" s="54">
        <v>82.12</v>
      </c>
      <c r="E146" s="54">
        <v>82.85</v>
      </c>
      <c r="F146" s="54">
        <v>83.21</v>
      </c>
      <c r="G146" s="54">
        <v>83.58</v>
      </c>
      <c r="H146" s="54">
        <v>83.94</v>
      </c>
      <c r="I146" s="54">
        <v>84.32</v>
      </c>
      <c r="J146" s="54">
        <v>84.69</v>
      </c>
      <c r="K146" s="54">
        <v>85.06</v>
      </c>
      <c r="L146" s="54">
        <v>85.27</v>
      </c>
      <c r="M146" s="54">
        <v>86.07</v>
      </c>
      <c r="N146" s="54">
        <v>86.89</v>
      </c>
      <c r="O146" s="55"/>
      <c r="P146" s="56"/>
      <c r="Q146" s="56"/>
      <c r="R146" s="56"/>
      <c r="S146" s="56"/>
      <c r="T146" s="57"/>
    </row>
    <row r="147" spans="1:20" ht="13.5" customHeight="1" x14ac:dyDescent="0.2">
      <c r="A147" s="53" t="s">
        <v>192</v>
      </c>
      <c r="B147" s="54" t="s">
        <v>193</v>
      </c>
      <c r="C147" s="54">
        <v>3</v>
      </c>
      <c r="D147" s="54">
        <v>82.12</v>
      </c>
      <c r="E147" s="54">
        <v>82.85</v>
      </c>
      <c r="F147" s="54">
        <v>83.21</v>
      </c>
      <c r="G147" s="54">
        <v>83.58</v>
      </c>
      <c r="H147" s="54">
        <v>83.94</v>
      </c>
      <c r="I147" s="54">
        <v>84.32</v>
      </c>
      <c r="J147" s="54">
        <v>84.69</v>
      </c>
      <c r="K147" s="54">
        <v>85.06</v>
      </c>
      <c r="L147" s="54">
        <v>85.27</v>
      </c>
      <c r="M147" s="54">
        <v>86.07</v>
      </c>
      <c r="N147" s="54">
        <v>86.89</v>
      </c>
      <c r="O147" s="55"/>
      <c r="P147" s="56"/>
      <c r="Q147" s="56"/>
      <c r="R147" s="56"/>
      <c r="S147" s="56"/>
      <c r="T147" s="57"/>
    </row>
    <row r="148" spans="1:20" ht="13.5" customHeight="1" x14ac:dyDescent="0.2">
      <c r="A148" s="53" t="s">
        <v>194</v>
      </c>
      <c r="B148" s="54" t="s">
        <v>195</v>
      </c>
      <c r="C148" s="54">
        <v>3</v>
      </c>
      <c r="D148" s="54">
        <v>82.12</v>
      </c>
      <c r="E148" s="54">
        <v>82.85</v>
      </c>
      <c r="F148" s="54">
        <v>83.21</v>
      </c>
      <c r="G148" s="54">
        <v>83.58</v>
      </c>
      <c r="H148" s="54">
        <v>83.94</v>
      </c>
      <c r="I148" s="54">
        <v>84.32</v>
      </c>
      <c r="J148" s="54">
        <v>84.69</v>
      </c>
      <c r="K148" s="54">
        <v>85.06</v>
      </c>
      <c r="L148" s="54">
        <v>85.27</v>
      </c>
      <c r="M148" s="54">
        <v>86.07</v>
      </c>
      <c r="N148" s="54">
        <v>86.89</v>
      </c>
      <c r="O148" s="55"/>
      <c r="P148" s="56"/>
      <c r="Q148" s="56"/>
      <c r="R148" s="56"/>
      <c r="S148" s="56"/>
      <c r="T148" s="57"/>
    </row>
    <row r="149" spans="1:20" ht="13.5" customHeight="1" x14ac:dyDescent="0.2">
      <c r="A149" s="53" t="s">
        <v>196</v>
      </c>
      <c r="B149" s="54" t="s">
        <v>197</v>
      </c>
      <c r="C149" s="54">
        <v>3</v>
      </c>
      <c r="D149" s="54">
        <v>61.56</v>
      </c>
      <c r="E149" s="54">
        <v>62.1</v>
      </c>
      <c r="F149" s="54">
        <v>62.38</v>
      </c>
      <c r="G149" s="54">
        <v>62.64</v>
      </c>
      <c r="H149" s="54">
        <v>62.92</v>
      </c>
      <c r="I149" s="54">
        <v>63.2</v>
      </c>
      <c r="J149" s="54">
        <v>63.47</v>
      </c>
      <c r="K149" s="54">
        <v>63.76</v>
      </c>
      <c r="L149" s="54">
        <v>63.92</v>
      </c>
      <c r="M149" s="54">
        <v>64.52</v>
      </c>
      <c r="N149" s="54">
        <v>65.14</v>
      </c>
      <c r="O149" s="55"/>
      <c r="P149" s="56"/>
      <c r="Q149" s="56"/>
      <c r="R149" s="56"/>
      <c r="S149" s="56"/>
      <c r="T149" s="57"/>
    </row>
    <row r="150" spans="1:20" ht="13.5" customHeight="1" x14ac:dyDescent="0.2">
      <c r="A150" s="53" t="s">
        <v>198</v>
      </c>
      <c r="B150" s="54" t="s">
        <v>199</v>
      </c>
      <c r="C150" s="54">
        <v>3</v>
      </c>
      <c r="D150" s="54">
        <v>82.12</v>
      </c>
      <c r="E150" s="54">
        <v>82.85</v>
      </c>
      <c r="F150" s="54">
        <v>83.21</v>
      </c>
      <c r="G150" s="54">
        <v>83.58</v>
      </c>
      <c r="H150" s="54">
        <v>83.94</v>
      </c>
      <c r="I150" s="54">
        <v>84.32</v>
      </c>
      <c r="J150" s="54">
        <v>84.69</v>
      </c>
      <c r="K150" s="54">
        <v>85.06</v>
      </c>
      <c r="L150" s="54">
        <v>85.27</v>
      </c>
      <c r="M150" s="54">
        <v>86.07</v>
      </c>
      <c r="N150" s="54">
        <v>86.89</v>
      </c>
      <c r="O150" s="55"/>
      <c r="P150" s="56"/>
      <c r="Q150" s="56"/>
      <c r="R150" s="56"/>
      <c r="S150" s="56"/>
      <c r="T150" s="57"/>
    </row>
    <row r="151" spans="1:20" ht="13.5" customHeight="1" x14ac:dyDescent="0.2">
      <c r="A151" s="53" t="s">
        <v>200</v>
      </c>
      <c r="B151" s="54" t="s">
        <v>201</v>
      </c>
      <c r="C151" s="54">
        <v>3</v>
      </c>
      <c r="D151" s="54">
        <v>82.12</v>
      </c>
      <c r="E151" s="54">
        <v>82.85</v>
      </c>
      <c r="F151" s="54">
        <v>83.21</v>
      </c>
      <c r="G151" s="54">
        <v>83.58</v>
      </c>
      <c r="H151" s="54">
        <v>83.94</v>
      </c>
      <c r="I151" s="54">
        <v>84.32</v>
      </c>
      <c r="J151" s="54">
        <v>84.69</v>
      </c>
      <c r="K151" s="54">
        <v>85.06</v>
      </c>
      <c r="L151" s="54">
        <v>85.27</v>
      </c>
      <c r="M151" s="54">
        <v>86.07</v>
      </c>
      <c r="N151" s="54">
        <v>86.89</v>
      </c>
      <c r="O151" s="55"/>
      <c r="P151" s="56"/>
      <c r="Q151" s="56"/>
      <c r="R151" s="56"/>
      <c r="S151" s="56"/>
      <c r="T151" s="57"/>
    </row>
    <row r="152" spans="1:20" ht="13.5" customHeight="1" x14ac:dyDescent="0.2">
      <c r="A152" s="53" t="s">
        <v>202</v>
      </c>
      <c r="B152" s="54" t="s">
        <v>203</v>
      </c>
      <c r="C152" s="54">
        <v>3</v>
      </c>
      <c r="D152" s="54">
        <v>82.12</v>
      </c>
      <c r="E152" s="54">
        <v>82.85</v>
      </c>
      <c r="F152" s="54">
        <v>83.21</v>
      </c>
      <c r="G152" s="54">
        <v>83.58</v>
      </c>
      <c r="H152" s="54">
        <v>83.94</v>
      </c>
      <c r="I152" s="54">
        <v>84.32</v>
      </c>
      <c r="J152" s="54">
        <v>84.69</v>
      </c>
      <c r="K152" s="54">
        <v>85.06</v>
      </c>
      <c r="L152" s="54">
        <v>85.27</v>
      </c>
      <c r="M152" s="54">
        <v>86.07</v>
      </c>
      <c r="N152" s="54">
        <v>86.89</v>
      </c>
      <c r="O152" s="55"/>
      <c r="P152" s="56"/>
      <c r="Q152" s="56"/>
      <c r="R152" s="56"/>
      <c r="S152" s="56"/>
      <c r="T152" s="57"/>
    </row>
    <row r="153" spans="1:20" ht="13.5" customHeight="1" x14ac:dyDescent="0.2">
      <c r="A153" s="53" t="s">
        <v>204</v>
      </c>
      <c r="B153" s="54" t="s">
        <v>205</v>
      </c>
      <c r="C153" s="54">
        <v>3</v>
      </c>
      <c r="D153" s="54">
        <v>19.05</v>
      </c>
      <c r="E153" s="54">
        <v>19.22</v>
      </c>
      <c r="F153" s="54">
        <v>19.309999999999999</v>
      </c>
      <c r="G153" s="54">
        <v>19.39</v>
      </c>
      <c r="H153" s="54">
        <v>19.48</v>
      </c>
      <c r="I153" s="54">
        <v>19.559999999999999</v>
      </c>
      <c r="J153" s="54">
        <v>19.649999999999999</v>
      </c>
      <c r="K153" s="54">
        <v>19.73</v>
      </c>
      <c r="L153" s="54">
        <v>19.79</v>
      </c>
      <c r="M153" s="54">
        <v>19.98</v>
      </c>
      <c r="N153" s="54">
        <v>20.16</v>
      </c>
      <c r="O153" s="55"/>
      <c r="P153" s="56"/>
      <c r="Q153" s="56"/>
      <c r="R153" s="56"/>
      <c r="S153" s="56"/>
      <c r="T153" s="57"/>
    </row>
    <row r="154" spans="1:20" ht="13.5" customHeight="1" x14ac:dyDescent="0.2">
      <c r="A154" s="53">
        <v>767</v>
      </c>
      <c r="B154" s="54" t="s">
        <v>206</v>
      </c>
      <c r="C154" s="54">
        <v>6</v>
      </c>
      <c r="D154" s="54">
        <v>20.43</v>
      </c>
      <c r="E154" s="54">
        <v>20.61</v>
      </c>
      <c r="F154" s="54">
        <v>20.7</v>
      </c>
      <c r="G154" s="54">
        <v>20.79</v>
      </c>
      <c r="H154" s="54">
        <v>20.88</v>
      </c>
      <c r="I154" s="54">
        <v>20.97</v>
      </c>
      <c r="J154" s="54">
        <v>21.07</v>
      </c>
      <c r="K154" s="54">
        <v>21.16</v>
      </c>
      <c r="L154" s="54">
        <v>21.21</v>
      </c>
      <c r="M154" s="54">
        <v>21.41</v>
      </c>
      <c r="N154" s="54">
        <v>21.62</v>
      </c>
      <c r="O154" s="55"/>
      <c r="P154" s="56"/>
      <c r="Q154" s="56"/>
      <c r="R154" s="56"/>
      <c r="S154" s="56"/>
      <c r="T154" s="57"/>
    </row>
    <row r="155" spans="1:20" ht="13.5" customHeight="1" x14ac:dyDescent="0.2">
      <c r="A155" s="53">
        <v>770</v>
      </c>
      <c r="B155" s="54" t="s">
        <v>207</v>
      </c>
      <c r="C155" s="54">
        <v>12</v>
      </c>
      <c r="D155" s="54">
        <v>8.1300000000000008</v>
      </c>
      <c r="E155" s="54">
        <v>8.1999999999999993</v>
      </c>
      <c r="F155" s="54">
        <v>8.23</v>
      </c>
      <c r="G155" s="54">
        <v>8.2799999999999994</v>
      </c>
      <c r="H155" s="54">
        <v>8.31</v>
      </c>
      <c r="I155" s="54">
        <v>8.35</v>
      </c>
      <c r="J155" s="54">
        <v>8.3800000000000008</v>
      </c>
      <c r="K155" s="54">
        <v>8.42</v>
      </c>
      <c r="L155" s="54">
        <v>8.4499999999999993</v>
      </c>
      <c r="M155" s="54">
        <v>8.52</v>
      </c>
      <c r="N155" s="54">
        <v>8.61</v>
      </c>
      <c r="O155" s="55"/>
      <c r="P155" s="56"/>
      <c r="Q155" s="56"/>
      <c r="R155" s="56"/>
      <c r="S155" s="56"/>
      <c r="T155" s="57"/>
    </row>
    <row r="156" spans="1:20" ht="13.5" customHeight="1" x14ac:dyDescent="0.2">
      <c r="A156" s="53">
        <v>771</v>
      </c>
      <c r="B156" s="54" t="s">
        <v>208</v>
      </c>
      <c r="C156" s="54">
        <v>12</v>
      </c>
      <c r="D156" s="54">
        <v>7.46</v>
      </c>
      <c r="E156" s="54">
        <v>7.52</v>
      </c>
      <c r="F156" s="54">
        <v>7.56</v>
      </c>
      <c r="G156" s="54">
        <v>7.59</v>
      </c>
      <c r="H156" s="54">
        <v>7.63</v>
      </c>
      <c r="I156" s="54">
        <v>7.66</v>
      </c>
      <c r="J156" s="54">
        <v>7.69</v>
      </c>
      <c r="K156" s="54">
        <v>7.72</v>
      </c>
      <c r="L156" s="54">
        <v>7.74</v>
      </c>
      <c r="M156" s="54">
        <v>7.82</v>
      </c>
      <c r="N156" s="54">
        <v>7.89</v>
      </c>
      <c r="O156" s="55"/>
      <c r="P156" s="56"/>
      <c r="Q156" s="56"/>
      <c r="R156" s="56"/>
      <c r="S156" s="56"/>
      <c r="T156" s="57"/>
    </row>
    <row r="157" spans="1:20" ht="13.5" customHeight="1" x14ac:dyDescent="0.2">
      <c r="A157" s="53">
        <v>772</v>
      </c>
      <c r="B157" s="54" t="s">
        <v>209</v>
      </c>
      <c r="C157" s="54">
        <v>12</v>
      </c>
      <c r="D157" s="54">
        <v>10.210000000000001</v>
      </c>
      <c r="E157" s="54">
        <v>10.31</v>
      </c>
      <c r="F157" s="54">
        <v>10.35</v>
      </c>
      <c r="G157" s="54">
        <v>10.39</v>
      </c>
      <c r="H157" s="54">
        <v>10.44</v>
      </c>
      <c r="I157" s="54">
        <v>10.49</v>
      </c>
      <c r="J157" s="54">
        <v>10.53</v>
      </c>
      <c r="K157" s="54">
        <v>10.58</v>
      </c>
      <c r="L157" s="54">
        <v>10.61</v>
      </c>
      <c r="M157" s="54">
        <v>10.7</v>
      </c>
      <c r="N157" s="54">
        <v>10.81</v>
      </c>
      <c r="O157" s="55"/>
      <c r="P157" s="56"/>
      <c r="Q157" s="56"/>
      <c r="R157" s="56"/>
      <c r="S157" s="56"/>
      <c r="T157" s="57"/>
    </row>
    <row r="158" spans="1:20" ht="13.5" customHeight="1" x14ac:dyDescent="0.2">
      <c r="A158" s="53">
        <v>911</v>
      </c>
      <c r="B158" s="54" t="s">
        <v>210</v>
      </c>
      <c r="C158" s="54">
        <v>15</v>
      </c>
      <c r="D158" s="54">
        <v>13.65</v>
      </c>
      <c r="E158" s="54">
        <v>13.77</v>
      </c>
      <c r="F158" s="54">
        <v>13.83</v>
      </c>
      <c r="G158" s="54">
        <v>13.9</v>
      </c>
      <c r="H158" s="54">
        <v>13.96</v>
      </c>
      <c r="I158" s="54">
        <v>14.02</v>
      </c>
      <c r="J158" s="54">
        <v>14.08</v>
      </c>
      <c r="K158" s="54">
        <v>14.14</v>
      </c>
      <c r="L158" s="54">
        <v>14.18</v>
      </c>
      <c r="M158" s="54">
        <v>14.31</v>
      </c>
      <c r="N158" s="54">
        <v>14.45</v>
      </c>
      <c r="O158" s="55"/>
      <c r="P158" s="56"/>
      <c r="Q158" s="56"/>
      <c r="R158" s="56"/>
      <c r="S158" s="56"/>
      <c r="T158" s="57"/>
    </row>
    <row r="159" spans="1:20" ht="13.5" customHeight="1" x14ac:dyDescent="0.2">
      <c r="A159" s="53">
        <v>913</v>
      </c>
      <c r="B159" s="54" t="s">
        <v>211</v>
      </c>
      <c r="C159" s="54">
        <v>1</v>
      </c>
      <c r="D159" s="54">
        <v>294.76</v>
      </c>
      <c r="E159" s="54">
        <v>297.36</v>
      </c>
      <c r="F159" s="54">
        <v>298.67</v>
      </c>
      <c r="G159" s="54">
        <v>299.98</v>
      </c>
      <c r="H159" s="54">
        <v>301.3</v>
      </c>
      <c r="I159" s="54">
        <v>302.63</v>
      </c>
      <c r="J159" s="54">
        <v>303.95999999999998</v>
      </c>
      <c r="K159" s="54">
        <v>305.3</v>
      </c>
      <c r="L159" s="54">
        <v>306.07</v>
      </c>
      <c r="M159" s="54">
        <v>308.95999999999998</v>
      </c>
      <c r="N159" s="54">
        <v>311.89</v>
      </c>
      <c r="O159" s="55"/>
      <c r="P159" s="56"/>
      <c r="Q159" s="56"/>
      <c r="R159" s="56"/>
      <c r="S159" s="56"/>
      <c r="T159" s="57"/>
    </row>
    <row r="160" spans="1:20" ht="13.5" customHeight="1" x14ac:dyDescent="0.2">
      <c r="A160" s="53">
        <v>976</v>
      </c>
      <c r="B160" s="54" t="s">
        <v>212</v>
      </c>
      <c r="C160" s="54">
        <v>8</v>
      </c>
      <c r="D160" s="54">
        <v>20.43</v>
      </c>
      <c r="E160" s="54">
        <v>20.61</v>
      </c>
      <c r="F160" s="54">
        <v>20.7</v>
      </c>
      <c r="G160" s="54">
        <v>20.79</v>
      </c>
      <c r="H160" s="54">
        <v>20.88</v>
      </c>
      <c r="I160" s="54">
        <v>20.97</v>
      </c>
      <c r="J160" s="54">
        <v>21.07</v>
      </c>
      <c r="K160" s="54">
        <v>21.16</v>
      </c>
      <c r="L160" s="54">
        <v>21.21</v>
      </c>
      <c r="M160" s="54">
        <v>21.41</v>
      </c>
      <c r="N160" s="54">
        <v>21.62</v>
      </c>
      <c r="O160" s="55"/>
      <c r="P160" s="56"/>
      <c r="Q160" s="56"/>
      <c r="R160" s="56"/>
      <c r="S160" s="56"/>
      <c r="T160" s="57"/>
    </row>
    <row r="161" spans="1:20" ht="13.5" customHeight="1" x14ac:dyDescent="0.2">
      <c r="A161" s="53">
        <v>1118</v>
      </c>
      <c r="B161" s="54" t="s">
        <v>213</v>
      </c>
      <c r="C161" s="54">
        <v>6</v>
      </c>
      <c r="D161" s="54">
        <v>21.8</v>
      </c>
      <c r="E161" s="54">
        <v>21.99</v>
      </c>
      <c r="F161" s="54">
        <v>22.09</v>
      </c>
      <c r="G161" s="54">
        <v>22.18</v>
      </c>
      <c r="H161" s="54">
        <v>22.28</v>
      </c>
      <c r="I161" s="54">
        <v>22.38</v>
      </c>
      <c r="J161" s="54">
        <v>22.48</v>
      </c>
      <c r="K161" s="54">
        <v>22.58</v>
      </c>
      <c r="L161" s="54">
        <v>22.63</v>
      </c>
      <c r="M161" s="54">
        <v>22.84</v>
      </c>
      <c r="N161" s="54">
        <v>23.07</v>
      </c>
      <c r="O161" s="55"/>
      <c r="P161" s="56"/>
      <c r="Q161" s="56"/>
      <c r="R161" s="56"/>
      <c r="S161" s="56"/>
      <c r="T161" s="57"/>
    </row>
    <row r="162" spans="1:20" ht="13.5" customHeight="1" x14ac:dyDescent="0.2">
      <c r="A162" s="53">
        <v>1119</v>
      </c>
      <c r="B162" s="54" t="s">
        <v>214</v>
      </c>
      <c r="C162" s="54">
        <v>6</v>
      </c>
      <c r="D162" s="54">
        <v>23.17</v>
      </c>
      <c r="E162" s="54">
        <v>23.38</v>
      </c>
      <c r="F162" s="54">
        <v>23.47</v>
      </c>
      <c r="G162" s="54">
        <v>23.58</v>
      </c>
      <c r="H162" s="54">
        <v>23.69</v>
      </c>
      <c r="I162" s="54">
        <v>23.79</v>
      </c>
      <c r="J162" s="54">
        <v>23.89</v>
      </c>
      <c r="K162" s="54">
        <v>23.99</v>
      </c>
      <c r="L162" s="54">
        <v>24.06</v>
      </c>
      <c r="M162" s="54">
        <v>24.28</v>
      </c>
      <c r="N162" s="54">
        <v>24.52</v>
      </c>
      <c r="O162" s="55"/>
      <c r="P162" s="56"/>
      <c r="Q162" s="56"/>
      <c r="R162" s="56"/>
      <c r="S162" s="56"/>
      <c r="T162" s="57"/>
    </row>
    <row r="163" spans="1:20" ht="13.5" customHeight="1" x14ac:dyDescent="0.2">
      <c r="A163" s="53">
        <v>1186</v>
      </c>
      <c r="B163" s="54" t="s">
        <v>215</v>
      </c>
      <c r="C163" s="54">
        <v>12</v>
      </c>
      <c r="D163" s="54">
        <v>10.89</v>
      </c>
      <c r="E163" s="54">
        <v>10.99</v>
      </c>
      <c r="F163" s="54">
        <v>11.04</v>
      </c>
      <c r="G163" s="54">
        <v>11.1</v>
      </c>
      <c r="H163" s="54">
        <v>11.14</v>
      </c>
      <c r="I163" s="54">
        <v>11.19</v>
      </c>
      <c r="J163" s="54">
        <v>11.24</v>
      </c>
      <c r="K163" s="54">
        <v>11.29</v>
      </c>
      <c r="L163" s="54">
        <v>11.32</v>
      </c>
      <c r="M163" s="54">
        <v>11.43</v>
      </c>
      <c r="N163" s="54">
        <v>11.53</v>
      </c>
      <c r="O163" s="55"/>
      <c r="P163" s="56"/>
      <c r="Q163" s="56"/>
      <c r="R163" s="56"/>
      <c r="S163" s="56"/>
      <c r="T163" s="57"/>
    </row>
    <row r="164" spans="1:20" ht="13.5" customHeight="1" x14ac:dyDescent="0.2">
      <c r="A164" s="53">
        <v>1202</v>
      </c>
      <c r="B164" s="54" t="s">
        <v>216</v>
      </c>
      <c r="C164" s="54">
        <v>12</v>
      </c>
      <c r="D164" s="54">
        <v>8.06</v>
      </c>
      <c r="E164" s="54">
        <v>8.14</v>
      </c>
      <c r="F164" s="54">
        <v>8.17</v>
      </c>
      <c r="G164" s="54">
        <v>8.1999999999999993</v>
      </c>
      <c r="H164" s="54">
        <v>8.24</v>
      </c>
      <c r="I164" s="54">
        <v>8.2799999999999994</v>
      </c>
      <c r="J164" s="54">
        <v>8.32</v>
      </c>
      <c r="K164" s="54">
        <v>8.35</v>
      </c>
      <c r="L164" s="54">
        <v>8.3699999999999992</v>
      </c>
      <c r="M164" s="54">
        <v>8.4499999999999993</v>
      </c>
      <c r="N164" s="54">
        <v>8.5299999999999994</v>
      </c>
      <c r="O164" s="55"/>
      <c r="P164" s="56"/>
      <c r="Q164" s="56"/>
      <c r="R164" s="56"/>
      <c r="S164" s="56"/>
      <c r="T164" s="57"/>
    </row>
    <row r="165" spans="1:20" ht="13.5" customHeight="1" x14ac:dyDescent="0.2">
      <c r="A165" s="53">
        <v>1203</v>
      </c>
      <c r="B165" s="54" t="s">
        <v>217</v>
      </c>
      <c r="C165" s="54">
        <v>1</v>
      </c>
      <c r="D165" s="54">
        <v>534.67999999999995</v>
      </c>
      <c r="E165" s="54">
        <v>539.4</v>
      </c>
      <c r="F165" s="54">
        <v>541.78</v>
      </c>
      <c r="G165" s="54">
        <v>544.15</v>
      </c>
      <c r="H165" s="54">
        <v>546.54999999999995</v>
      </c>
      <c r="I165" s="54">
        <v>548.95000000000005</v>
      </c>
      <c r="J165" s="54">
        <v>551.37</v>
      </c>
      <c r="K165" s="54">
        <v>553.79999999999995</v>
      </c>
      <c r="L165" s="54">
        <v>555.20000000000005</v>
      </c>
      <c r="M165" s="54">
        <v>560.45000000000005</v>
      </c>
      <c r="N165" s="54">
        <v>565.74</v>
      </c>
      <c r="O165" s="55"/>
      <c r="P165" s="56"/>
      <c r="Q165" s="56"/>
      <c r="R165" s="56"/>
      <c r="S165" s="56"/>
      <c r="T165" s="57"/>
    </row>
    <row r="166" spans="1:20" ht="13.5" customHeight="1" x14ac:dyDescent="0.2">
      <c r="A166" s="53">
        <v>1204</v>
      </c>
      <c r="B166" s="54" t="s">
        <v>218</v>
      </c>
      <c r="C166" s="54">
        <v>1</v>
      </c>
      <c r="D166" s="54">
        <v>532.49</v>
      </c>
      <c r="E166" s="54">
        <v>537.19000000000005</v>
      </c>
      <c r="F166" s="54">
        <v>539.54999999999995</v>
      </c>
      <c r="G166" s="54">
        <v>541.92999999999995</v>
      </c>
      <c r="H166" s="54">
        <v>544.30999999999995</v>
      </c>
      <c r="I166" s="54">
        <v>546.71</v>
      </c>
      <c r="J166" s="54">
        <v>549.11</v>
      </c>
      <c r="K166" s="54">
        <v>551.53</v>
      </c>
      <c r="L166" s="54">
        <v>552.91999999999996</v>
      </c>
      <c r="M166" s="54">
        <v>558.15</v>
      </c>
      <c r="N166" s="54">
        <v>563.41999999999996</v>
      </c>
      <c r="O166" s="55"/>
      <c r="P166" s="56"/>
      <c r="Q166" s="56"/>
      <c r="R166" s="56"/>
      <c r="S166" s="56"/>
      <c r="T166" s="57"/>
    </row>
    <row r="167" spans="1:20" ht="12" customHeight="1" x14ac:dyDescent="0.2">
      <c r="A167" s="53">
        <v>1205</v>
      </c>
      <c r="B167" s="54" t="s">
        <v>219</v>
      </c>
      <c r="C167" s="54">
        <v>1</v>
      </c>
      <c r="D167" s="54">
        <v>630.65</v>
      </c>
      <c r="E167" s="54">
        <v>636.21</v>
      </c>
      <c r="F167" s="54">
        <v>639.01</v>
      </c>
      <c r="G167" s="54">
        <v>641.82000000000005</v>
      </c>
      <c r="H167" s="54">
        <v>644.66</v>
      </c>
      <c r="I167" s="54">
        <v>647.49</v>
      </c>
      <c r="J167" s="54">
        <v>650.34</v>
      </c>
      <c r="K167" s="54">
        <v>653.20000000000005</v>
      </c>
      <c r="L167" s="54">
        <v>654.84</v>
      </c>
      <c r="M167" s="54">
        <v>661.03</v>
      </c>
      <c r="N167" s="54">
        <v>667.29</v>
      </c>
      <c r="O167" s="55"/>
      <c r="P167" s="56"/>
      <c r="Q167" s="56"/>
      <c r="R167" s="56"/>
      <c r="S167" s="56"/>
      <c r="T167" s="57"/>
    </row>
    <row r="168" spans="1:20" ht="12" customHeight="1" x14ac:dyDescent="0.2">
      <c r="A168" s="53">
        <v>1212</v>
      </c>
      <c r="B168" s="54" t="s">
        <v>220</v>
      </c>
      <c r="C168" s="54">
        <v>4</v>
      </c>
      <c r="D168" s="54">
        <v>38.25</v>
      </c>
      <c r="E168" s="54">
        <v>38.58</v>
      </c>
      <c r="F168" s="54">
        <v>38.76</v>
      </c>
      <c r="G168" s="54">
        <v>38.93</v>
      </c>
      <c r="H168" s="54">
        <v>39.1</v>
      </c>
      <c r="I168" s="54">
        <v>39.270000000000003</v>
      </c>
      <c r="J168" s="54">
        <v>39.450000000000003</v>
      </c>
      <c r="K168" s="54">
        <v>39.619999999999997</v>
      </c>
      <c r="L168" s="54">
        <v>39.71</v>
      </c>
      <c r="M168" s="54">
        <v>40.1</v>
      </c>
      <c r="N168" s="54">
        <v>40.47</v>
      </c>
      <c r="O168" s="55"/>
      <c r="P168" s="56"/>
      <c r="Q168" s="56"/>
      <c r="R168" s="56"/>
      <c r="S168" s="56"/>
      <c r="T168" s="57"/>
    </row>
    <row r="169" spans="1:20" ht="13.5" customHeight="1" x14ac:dyDescent="0.2">
      <c r="A169" s="53" t="s">
        <v>221</v>
      </c>
      <c r="B169" s="54" t="s">
        <v>220</v>
      </c>
      <c r="C169" s="54">
        <v>4</v>
      </c>
      <c r="D169" s="54">
        <v>30.02</v>
      </c>
      <c r="E169" s="54">
        <v>30.29</v>
      </c>
      <c r="F169" s="54">
        <v>30.43</v>
      </c>
      <c r="G169" s="54">
        <v>30.55</v>
      </c>
      <c r="H169" s="54">
        <v>30.69</v>
      </c>
      <c r="I169" s="54">
        <v>30.82</v>
      </c>
      <c r="J169" s="54">
        <v>30.96</v>
      </c>
      <c r="K169" s="54">
        <v>31.1</v>
      </c>
      <c r="L169" s="54">
        <v>31.17</v>
      </c>
      <c r="M169" s="54">
        <v>31.47</v>
      </c>
      <c r="N169" s="54">
        <v>31.77</v>
      </c>
      <c r="O169" s="55"/>
      <c r="P169" s="56"/>
      <c r="Q169" s="56"/>
      <c r="R169" s="56"/>
      <c r="S169" s="56"/>
      <c r="T169" s="57"/>
    </row>
    <row r="170" spans="1:20" ht="13.5" customHeight="1" x14ac:dyDescent="0.2">
      <c r="A170" s="53">
        <v>1213</v>
      </c>
      <c r="B170" s="54" t="s">
        <v>222</v>
      </c>
      <c r="C170" s="54">
        <v>4</v>
      </c>
      <c r="D170" s="54">
        <v>56.07</v>
      </c>
      <c r="E170" s="54">
        <v>56.57</v>
      </c>
      <c r="F170" s="54">
        <v>56.82</v>
      </c>
      <c r="G170" s="54">
        <v>57.06</v>
      </c>
      <c r="H170" s="54">
        <v>57.32</v>
      </c>
      <c r="I170" s="54">
        <v>57.57</v>
      </c>
      <c r="J170" s="54">
        <v>57.82</v>
      </c>
      <c r="K170" s="54">
        <v>58.07</v>
      </c>
      <c r="L170" s="54">
        <v>58.22</v>
      </c>
      <c r="M170" s="54">
        <v>58.78</v>
      </c>
      <c r="N170" s="54">
        <v>59.33</v>
      </c>
      <c r="O170" s="55"/>
      <c r="P170" s="56"/>
      <c r="Q170" s="56"/>
      <c r="R170" s="56"/>
      <c r="S170" s="56"/>
      <c r="T170" s="57"/>
    </row>
    <row r="171" spans="1:20" ht="13.5" customHeight="1" x14ac:dyDescent="0.2">
      <c r="A171" s="53">
        <v>1214</v>
      </c>
      <c r="B171" s="54" t="s">
        <v>223</v>
      </c>
      <c r="C171" s="54">
        <v>4</v>
      </c>
      <c r="D171" s="54">
        <v>73.900000000000006</v>
      </c>
      <c r="E171" s="54">
        <v>74.55</v>
      </c>
      <c r="F171" s="54">
        <v>74.88</v>
      </c>
      <c r="G171" s="54">
        <v>75.209999999999994</v>
      </c>
      <c r="H171" s="54">
        <v>75.540000000000006</v>
      </c>
      <c r="I171" s="54">
        <v>75.87</v>
      </c>
      <c r="J171" s="54">
        <v>76.2</v>
      </c>
      <c r="K171" s="54">
        <v>76.540000000000006</v>
      </c>
      <c r="L171" s="54">
        <v>76.73</v>
      </c>
      <c r="M171" s="54">
        <v>77.459999999999994</v>
      </c>
      <c r="N171" s="54">
        <v>78.19</v>
      </c>
      <c r="O171" s="55"/>
      <c r="P171" s="56"/>
      <c r="Q171" s="56"/>
      <c r="R171" s="56"/>
      <c r="S171" s="56"/>
      <c r="T171" s="57"/>
    </row>
    <row r="172" spans="1:20" ht="13.5" customHeight="1" x14ac:dyDescent="0.2">
      <c r="A172" s="53" t="s">
        <v>224</v>
      </c>
      <c r="B172" s="54" t="s">
        <v>223</v>
      </c>
      <c r="C172" s="54">
        <v>4</v>
      </c>
      <c r="D172" s="54">
        <v>50.59</v>
      </c>
      <c r="E172" s="54">
        <v>51.03</v>
      </c>
      <c r="F172" s="54">
        <v>51.26</v>
      </c>
      <c r="G172" s="54">
        <v>51.48</v>
      </c>
      <c r="H172" s="54">
        <v>51.72</v>
      </c>
      <c r="I172" s="54">
        <v>51.94</v>
      </c>
      <c r="J172" s="54">
        <v>52.16</v>
      </c>
      <c r="K172" s="54">
        <v>52.4</v>
      </c>
      <c r="L172" s="54">
        <v>52.53</v>
      </c>
      <c r="M172" s="54">
        <v>53.03</v>
      </c>
      <c r="N172" s="54">
        <v>53.53</v>
      </c>
      <c r="O172" s="55"/>
      <c r="P172" s="56"/>
      <c r="Q172" s="56"/>
      <c r="R172" s="56"/>
      <c r="S172" s="56"/>
      <c r="T172" s="57"/>
    </row>
    <row r="173" spans="1:20" ht="13.5" customHeight="1" x14ac:dyDescent="0.2">
      <c r="A173" s="53">
        <v>1215</v>
      </c>
      <c r="B173" s="54" t="s">
        <v>225</v>
      </c>
      <c r="C173" s="54">
        <v>12</v>
      </c>
      <c r="D173" s="54">
        <v>3.42</v>
      </c>
      <c r="E173" s="54">
        <v>3.44</v>
      </c>
      <c r="F173" s="54">
        <v>3.46</v>
      </c>
      <c r="G173" s="54">
        <v>3.47</v>
      </c>
      <c r="H173" s="54">
        <v>3.49</v>
      </c>
      <c r="I173" s="54">
        <v>3.5</v>
      </c>
      <c r="J173" s="54">
        <v>3.53</v>
      </c>
      <c r="K173" s="54">
        <v>3.54</v>
      </c>
      <c r="L173" s="54">
        <v>3.55</v>
      </c>
      <c r="M173" s="54">
        <v>3.58</v>
      </c>
      <c r="N173" s="54">
        <v>3.61</v>
      </c>
      <c r="O173" s="55"/>
      <c r="P173" s="56"/>
      <c r="Q173" s="56"/>
      <c r="R173" s="56"/>
      <c r="S173" s="56"/>
      <c r="T173" s="57"/>
    </row>
    <row r="174" spans="1:20" ht="13.5" customHeight="1" x14ac:dyDescent="0.2">
      <c r="A174" s="53">
        <v>1216</v>
      </c>
      <c r="B174" s="54" t="s">
        <v>226</v>
      </c>
      <c r="C174" s="54">
        <v>12</v>
      </c>
      <c r="D174" s="54">
        <v>3.42</v>
      </c>
      <c r="E174" s="54">
        <v>3.44</v>
      </c>
      <c r="F174" s="54">
        <v>3.46</v>
      </c>
      <c r="G174" s="54">
        <v>3.47</v>
      </c>
      <c r="H174" s="54">
        <v>3.49</v>
      </c>
      <c r="I174" s="54">
        <v>3.5</v>
      </c>
      <c r="J174" s="54">
        <v>3.53</v>
      </c>
      <c r="K174" s="54">
        <v>3.54</v>
      </c>
      <c r="L174" s="54">
        <v>3.55</v>
      </c>
      <c r="M174" s="54">
        <v>3.58</v>
      </c>
      <c r="N174" s="54">
        <v>3.61</v>
      </c>
      <c r="O174" s="55"/>
      <c r="P174" s="56"/>
      <c r="Q174" s="56"/>
      <c r="R174" s="56"/>
      <c r="S174" s="56"/>
      <c r="T174" s="57"/>
    </row>
    <row r="175" spans="1:20" ht="13.5" customHeight="1" x14ac:dyDescent="0.2">
      <c r="A175" s="53">
        <v>1217</v>
      </c>
      <c r="B175" s="54" t="s">
        <v>227</v>
      </c>
      <c r="C175" s="54">
        <v>12</v>
      </c>
      <c r="D175" s="54">
        <v>4.78</v>
      </c>
      <c r="E175" s="54">
        <v>4.82</v>
      </c>
      <c r="F175" s="54">
        <v>4.8499999999999996</v>
      </c>
      <c r="G175" s="54">
        <v>4.87</v>
      </c>
      <c r="H175" s="54">
        <v>4.8899999999999997</v>
      </c>
      <c r="I175" s="54">
        <v>4.91</v>
      </c>
      <c r="J175" s="54">
        <v>4.93</v>
      </c>
      <c r="K175" s="54">
        <v>4.95</v>
      </c>
      <c r="L175" s="54">
        <v>4.97</v>
      </c>
      <c r="M175" s="54">
        <v>5.0199999999999996</v>
      </c>
      <c r="N175" s="54">
        <v>5.0599999999999996</v>
      </c>
      <c r="O175" s="55"/>
      <c r="P175" s="56"/>
      <c r="Q175" s="56"/>
      <c r="R175" s="56"/>
      <c r="S175" s="56"/>
      <c r="T175" s="57"/>
    </row>
    <row r="176" spans="1:20" ht="13.5" customHeight="1" x14ac:dyDescent="0.2">
      <c r="A176" s="53">
        <v>1218</v>
      </c>
      <c r="B176" s="54" t="s">
        <v>228</v>
      </c>
      <c r="C176" s="54">
        <v>24</v>
      </c>
      <c r="D176" s="54">
        <v>2.4</v>
      </c>
      <c r="E176" s="54">
        <v>2.42</v>
      </c>
      <c r="F176" s="54">
        <v>2.4300000000000002</v>
      </c>
      <c r="G176" s="54">
        <v>2.44</v>
      </c>
      <c r="H176" s="54">
        <v>2.4500000000000002</v>
      </c>
      <c r="I176" s="54">
        <v>2.46</v>
      </c>
      <c r="J176" s="54">
        <v>2.4700000000000002</v>
      </c>
      <c r="K176" s="54">
        <v>2.48</v>
      </c>
      <c r="L176" s="54">
        <v>2.4900000000000002</v>
      </c>
      <c r="M176" s="54">
        <v>2.5099999999999998</v>
      </c>
      <c r="N176" s="54">
        <v>2.5299999999999998</v>
      </c>
      <c r="O176" s="55"/>
      <c r="P176" s="56"/>
      <c r="Q176" s="56"/>
      <c r="R176" s="56"/>
      <c r="S176" s="56"/>
      <c r="T176" s="57"/>
    </row>
    <row r="177" spans="1:20" ht="13.5" customHeight="1" x14ac:dyDescent="0.2">
      <c r="A177" s="53">
        <v>1219</v>
      </c>
      <c r="B177" s="54" t="s">
        <v>229</v>
      </c>
      <c r="C177" s="54">
        <v>24</v>
      </c>
      <c r="D177" s="54">
        <v>3.43</v>
      </c>
      <c r="E177" s="54">
        <v>3.46</v>
      </c>
      <c r="F177" s="54">
        <v>3.47</v>
      </c>
      <c r="G177" s="54">
        <v>3.49</v>
      </c>
      <c r="H177" s="54">
        <v>3.5</v>
      </c>
      <c r="I177" s="54">
        <v>3.51</v>
      </c>
      <c r="J177" s="54">
        <v>3.54</v>
      </c>
      <c r="K177" s="54">
        <v>3.55</v>
      </c>
      <c r="L177" s="54">
        <v>3.56</v>
      </c>
      <c r="M177" s="54">
        <v>3.59</v>
      </c>
      <c r="N177" s="54">
        <v>3.63</v>
      </c>
      <c r="O177" s="55"/>
      <c r="P177" s="56"/>
      <c r="Q177" s="56"/>
      <c r="R177" s="56"/>
      <c r="S177" s="56"/>
      <c r="T177" s="57"/>
    </row>
    <row r="178" spans="1:20" ht="13.5" customHeight="1" x14ac:dyDescent="0.2">
      <c r="A178" s="53">
        <v>1220</v>
      </c>
      <c r="B178" s="54" t="s">
        <v>230</v>
      </c>
      <c r="C178" s="54">
        <v>12</v>
      </c>
      <c r="D178" s="54">
        <v>5.34</v>
      </c>
      <c r="E178" s="54">
        <v>5.38</v>
      </c>
      <c r="F178" s="54">
        <v>5.4</v>
      </c>
      <c r="G178" s="54">
        <v>5.43</v>
      </c>
      <c r="H178" s="54">
        <v>5.45</v>
      </c>
      <c r="I178" s="54">
        <v>5.47</v>
      </c>
      <c r="J178" s="54">
        <v>5.5</v>
      </c>
      <c r="K178" s="54">
        <v>5.53</v>
      </c>
      <c r="L178" s="54">
        <v>5.54</v>
      </c>
      <c r="M178" s="54">
        <v>5.59</v>
      </c>
      <c r="N178" s="54">
        <v>5.64</v>
      </c>
      <c r="O178" s="55"/>
      <c r="P178" s="56"/>
      <c r="Q178" s="56"/>
      <c r="R178" s="56"/>
      <c r="S178" s="56"/>
      <c r="T178" s="57"/>
    </row>
    <row r="179" spans="1:20" ht="13.5" customHeight="1" x14ac:dyDescent="0.2">
      <c r="A179" s="53">
        <v>1223</v>
      </c>
      <c r="B179" s="54" t="s">
        <v>231</v>
      </c>
      <c r="C179" s="54">
        <v>12</v>
      </c>
      <c r="D179" s="54">
        <v>27.29</v>
      </c>
      <c r="E179" s="54">
        <v>27.52</v>
      </c>
      <c r="F179" s="54">
        <v>27.65</v>
      </c>
      <c r="G179" s="54">
        <v>27.76</v>
      </c>
      <c r="H179" s="54">
        <v>27.89</v>
      </c>
      <c r="I179" s="54">
        <v>28.01</v>
      </c>
      <c r="J179" s="54">
        <v>28.14</v>
      </c>
      <c r="K179" s="54">
        <v>28.25</v>
      </c>
      <c r="L179" s="54">
        <v>28.33</v>
      </c>
      <c r="M179" s="54">
        <v>28.6</v>
      </c>
      <c r="N179" s="54">
        <v>28.87</v>
      </c>
      <c r="O179" s="55"/>
      <c r="P179" s="56"/>
      <c r="Q179" s="56"/>
      <c r="R179" s="56"/>
      <c r="S179" s="56"/>
      <c r="T179" s="57"/>
    </row>
    <row r="180" spans="1:20" ht="13.5" customHeight="1" x14ac:dyDescent="0.2">
      <c r="A180" s="53">
        <v>1224</v>
      </c>
      <c r="B180" s="54" t="s">
        <v>231</v>
      </c>
      <c r="C180" s="54">
        <v>12</v>
      </c>
      <c r="D180" s="54">
        <v>35.51</v>
      </c>
      <c r="E180" s="54">
        <v>35.83</v>
      </c>
      <c r="F180" s="54">
        <v>35.979999999999997</v>
      </c>
      <c r="G180" s="54">
        <v>36.14</v>
      </c>
      <c r="H180" s="54">
        <v>36.299999999999997</v>
      </c>
      <c r="I180" s="54">
        <v>36.450000000000003</v>
      </c>
      <c r="J180" s="54">
        <v>36.61</v>
      </c>
      <c r="K180" s="54">
        <v>36.770000000000003</v>
      </c>
      <c r="L180" s="54">
        <v>36.869999999999997</v>
      </c>
      <c r="M180" s="54">
        <v>37.22</v>
      </c>
      <c r="N180" s="54">
        <v>37.57</v>
      </c>
      <c r="O180" s="55"/>
      <c r="P180" s="56"/>
      <c r="Q180" s="56"/>
      <c r="R180" s="56"/>
      <c r="S180" s="56"/>
      <c r="T180" s="57"/>
    </row>
    <row r="181" spans="1:20" ht="13.5" customHeight="1" x14ac:dyDescent="0.2">
      <c r="A181" s="53">
        <v>1225</v>
      </c>
      <c r="B181" s="54" t="s">
        <v>232</v>
      </c>
      <c r="C181" s="54">
        <v>6</v>
      </c>
      <c r="D181" s="54">
        <v>46.48</v>
      </c>
      <c r="E181" s="54">
        <v>46.88</v>
      </c>
      <c r="F181" s="54">
        <v>47.09</v>
      </c>
      <c r="G181" s="54">
        <v>47.3</v>
      </c>
      <c r="H181" s="54">
        <v>47.51</v>
      </c>
      <c r="I181" s="54">
        <v>47.71</v>
      </c>
      <c r="J181" s="54">
        <v>47.93</v>
      </c>
      <c r="K181" s="54">
        <v>48.14</v>
      </c>
      <c r="L181" s="54">
        <v>48.26</v>
      </c>
      <c r="M181" s="54">
        <v>48.71</v>
      </c>
      <c r="N181" s="54">
        <v>49.17</v>
      </c>
      <c r="O181" s="55"/>
      <c r="P181" s="56"/>
      <c r="Q181" s="56"/>
      <c r="R181" s="56"/>
      <c r="S181" s="56"/>
      <c r="T181" s="57"/>
    </row>
    <row r="182" spans="1:20" ht="13.5" customHeight="1" x14ac:dyDescent="0.2">
      <c r="A182" s="53">
        <v>1232</v>
      </c>
      <c r="B182" s="54" t="s">
        <v>233</v>
      </c>
      <c r="C182" s="54">
        <v>1</v>
      </c>
      <c r="D182" s="54">
        <v>409.92</v>
      </c>
      <c r="E182" s="54">
        <v>413.54</v>
      </c>
      <c r="F182" s="54">
        <v>415.36</v>
      </c>
      <c r="G182" s="54">
        <v>417.18</v>
      </c>
      <c r="H182" s="54">
        <v>419.02</v>
      </c>
      <c r="I182" s="54">
        <v>420.87</v>
      </c>
      <c r="J182" s="54">
        <v>422.72</v>
      </c>
      <c r="K182" s="54">
        <v>424.58</v>
      </c>
      <c r="L182" s="54">
        <v>425.65</v>
      </c>
      <c r="M182" s="54">
        <v>429.67</v>
      </c>
      <c r="N182" s="54">
        <v>433.73</v>
      </c>
      <c r="O182" s="55"/>
      <c r="P182" s="56"/>
      <c r="Q182" s="56"/>
      <c r="R182" s="56"/>
      <c r="S182" s="56"/>
      <c r="T182" s="57"/>
    </row>
    <row r="183" spans="1:20" ht="13.5" customHeight="1" x14ac:dyDescent="0.2">
      <c r="A183" s="53">
        <v>1233</v>
      </c>
      <c r="B183" s="54" t="s">
        <v>234</v>
      </c>
      <c r="C183" s="54">
        <v>1</v>
      </c>
      <c r="D183" s="54">
        <v>397.59</v>
      </c>
      <c r="E183" s="54">
        <v>401.09</v>
      </c>
      <c r="F183" s="54">
        <v>402.86</v>
      </c>
      <c r="G183" s="54">
        <v>404.63</v>
      </c>
      <c r="H183" s="54">
        <v>406.41</v>
      </c>
      <c r="I183" s="54">
        <v>408.2</v>
      </c>
      <c r="J183" s="54">
        <v>409.99</v>
      </c>
      <c r="K183" s="54">
        <v>411.8</v>
      </c>
      <c r="L183" s="54">
        <v>412.84</v>
      </c>
      <c r="M183" s="54">
        <v>416.73</v>
      </c>
      <c r="N183" s="54">
        <v>420.68</v>
      </c>
      <c r="O183" s="55"/>
      <c r="P183" s="56"/>
      <c r="Q183" s="56"/>
      <c r="R183" s="56"/>
      <c r="S183" s="56"/>
      <c r="T183" s="57"/>
    </row>
    <row r="184" spans="1:20" ht="13.5" customHeight="1" x14ac:dyDescent="0.2">
      <c r="A184" s="53">
        <v>1241</v>
      </c>
      <c r="B184" s="54" t="s">
        <v>235</v>
      </c>
      <c r="C184" s="54">
        <v>6</v>
      </c>
      <c r="D184" s="54">
        <v>27.29</v>
      </c>
      <c r="E184" s="54">
        <v>27.52</v>
      </c>
      <c r="F184" s="54">
        <v>27.65</v>
      </c>
      <c r="G184" s="54">
        <v>27.76</v>
      </c>
      <c r="H184" s="54">
        <v>27.89</v>
      </c>
      <c r="I184" s="54">
        <v>28.01</v>
      </c>
      <c r="J184" s="54">
        <v>28.14</v>
      </c>
      <c r="K184" s="54">
        <v>28.25</v>
      </c>
      <c r="L184" s="54">
        <v>28.33</v>
      </c>
      <c r="M184" s="54">
        <v>28.6</v>
      </c>
      <c r="N184" s="54">
        <v>28.87</v>
      </c>
      <c r="O184" s="55"/>
      <c r="P184" s="56"/>
      <c r="Q184" s="56"/>
      <c r="R184" s="56"/>
      <c r="S184" s="56"/>
      <c r="T184" s="57"/>
    </row>
    <row r="185" spans="1:20" ht="13.5" customHeight="1" x14ac:dyDescent="0.2">
      <c r="A185" s="53" t="s">
        <v>236</v>
      </c>
      <c r="B185" s="54" t="s">
        <v>235</v>
      </c>
      <c r="C185" s="54">
        <v>6</v>
      </c>
      <c r="D185" s="54">
        <v>24.54</v>
      </c>
      <c r="E185" s="54">
        <v>24.76</v>
      </c>
      <c r="F185" s="54">
        <v>24.87</v>
      </c>
      <c r="G185" s="54">
        <v>24.97</v>
      </c>
      <c r="H185" s="54">
        <v>25.08</v>
      </c>
      <c r="I185" s="54">
        <v>25.2</v>
      </c>
      <c r="J185" s="54">
        <v>25.3</v>
      </c>
      <c r="K185" s="54">
        <v>25.42</v>
      </c>
      <c r="L185" s="54">
        <v>25.49</v>
      </c>
      <c r="M185" s="54">
        <v>25.72</v>
      </c>
      <c r="N185" s="54">
        <v>25.96</v>
      </c>
      <c r="O185" s="55"/>
      <c r="P185" s="56"/>
      <c r="Q185" s="56"/>
      <c r="R185" s="56"/>
      <c r="S185" s="56"/>
      <c r="T185" s="57"/>
    </row>
    <row r="186" spans="1:20" ht="13.5" customHeight="1" x14ac:dyDescent="0.2">
      <c r="A186" s="53">
        <v>1242</v>
      </c>
      <c r="B186" s="54" t="s">
        <v>237</v>
      </c>
      <c r="C186" s="54">
        <v>6</v>
      </c>
      <c r="D186" s="54">
        <v>32.770000000000003</v>
      </c>
      <c r="E186" s="54">
        <v>33.06</v>
      </c>
      <c r="F186" s="54">
        <v>33.200000000000003</v>
      </c>
      <c r="G186" s="54">
        <v>33.35</v>
      </c>
      <c r="H186" s="54">
        <v>33.49</v>
      </c>
      <c r="I186" s="54">
        <v>33.64</v>
      </c>
      <c r="J186" s="54">
        <v>33.79</v>
      </c>
      <c r="K186" s="54">
        <v>33.94</v>
      </c>
      <c r="L186" s="54">
        <v>34.03</v>
      </c>
      <c r="M186" s="54">
        <v>34.35</v>
      </c>
      <c r="N186" s="54">
        <v>34.67</v>
      </c>
      <c r="O186" s="55"/>
      <c r="P186" s="56"/>
      <c r="Q186" s="56"/>
      <c r="R186" s="56"/>
      <c r="S186" s="56"/>
      <c r="T186" s="57"/>
    </row>
    <row r="187" spans="1:20" ht="13.5" customHeight="1" x14ac:dyDescent="0.2">
      <c r="A187" s="53" t="s">
        <v>238</v>
      </c>
      <c r="B187" s="54" t="s">
        <v>237</v>
      </c>
      <c r="C187" s="54">
        <v>6</v>
      </c>
      <c r="D187" s="54">
        <v>27.29</v>
      </c>
      <c r="E187" s="54">
        <v>27.52</v>
      </c>
      <c r="F187" s="54">
        <v>27.65</v>
      </c>
      <c r="G187" s="54">
        <v>27.76</v>
      </c>
      <c r="H187" s="54">
        <v>27.89</v>
      </c>
      <c r="I187" s="54">
        <v>28.01</v>
      </c>
      <c r="J187" s="54">
        <v>28.14</v>
      </c>
      <c r="K187" s="54">
        <v>28.25</v>
      </c>
      <c r="L187" s="54">
        <v>28.33</v>
      </c>
      <c r="M187" s="54">
        <v>28.6</v>
      </c>
      <c r="N187" s="54">
        <v>28.87</v>
      </c>
      <c r="O187" s="55"/>
      <c r="P187" s="56"/>
      <c r="Q187" s="56"/>
      <c r="R187" s="56"/>
      <c r="S187" s="56"/>
      <c r="T187" s="57"/>
    </row>
    <row r="188" spans="1:20" ht="13.5" customHeight="1" x14ac:dyDescent="0.2">
      <c r="A188" s="53">
        <v>1243</v>
      </c>
      <c r="B188" s="54" t="s">
        <v>239</v>
      </c>
      <c r="C188" s="54">
        <v>4</v>
      </c>
      <c r="D188" s="54">
        <v>57.93</v>
      </c>
      <c r="E188" s="54">
        <v>58.44</v>
      </c>
      <c r="F188" s="54">
        <v>58.69</v>
      </c>
      <c r="G188" s="54">
        <v>58.95</v>
      </c>
      <c r="H188" s="54">
        <v>59.21</v>
      </c>
      <c r="I188" s="54">
        <v>59.47</v>
      </c>
      <c r="J188" s="54">
        <v>59.74</v>
      </c>
      <c r="K188" s="54">
        <v>59.99</v>
      </c>
      <c r="L188" s="54">
        <v>60.14</v>
      </c>
      <c r="M188" s="54">
        <v>60.72</v>
      </c>
      <c r="N188" s="54">
        <v>61.29</v>
      </c>
      <c r="O188" s="55"/>
      <c r="P188" s="56"/>
      <c r="Q188" s="56"/>
      <c r="R188" s="56"/>
      <c r="S188" s="56"/>
      <c r="T188" s="57"/>
    </row>
    <row r="189" spans="1:20" ht="13.5" customHeight="1" x14ac:dyDescent="0.2">
      <c r="A189" s="53" t="s">
        <v>240</v>
      </c>
      <c r="B189" s="54" t="s">
        <v>241</v>
      </c>
      <c r="C189" s="54">
        <v>4</v>
      </c>
      <c r="D189" s="54">
        <v>64.290000000000006</v>
      </c>
      <c r="E189" s="54">
        <v>64.87</v>
      </c>
      <c r="F189" s="54">
        <v>65.16</v>
      </c>
      <c r="G189" s="54">
        <v>65.430000000000007</v>
      </c>
      <c r="H189" s="54">
        <v>65.72</v>
      </c>
      <c r="I189" s="54">
        <v>66.02</v>
      </c>
      <c r="J189" s="54">
        <v>66.31</v>
      </c>
      <c r="K189" s="54">
        <v>66.59</v>
      </c>
      <c r="L189" s="54">
        <v>66.760000000000005</v>
      </c>
      <c r="M189" s="54">
        <v>67.39</v>
      </c>
      <c r="N189" s="54">
        <v>68.03</v>
      </c>
      <c r="O189" s="55"/>
      <c r="P189" s="56"/>
      <c r="Q189" s="56"/>
      <c r="R189" s="56"/>
      <c r="S189" s="56"/>
      <c r="T189" s="57"/>
    </row>
    <row r="190" spans="1:20" ht="13.5" customHeight="1" x14ac:dyDescent="0.2">
      <c r="A190" s="53" t="s">
        <v>242</v>
      </c>
      <c r="B190" s="54" t="s">
        <v>243</v>
      </c>
      <c r="C190" s="54">
        <v>4</v>
      </c>
      <c r="D190" s="54">
        <v>64.290000000000006</v>
      </c>
      <c r="E190" s="54">
        <v>64.87</v>
      </c>
      <c r="F190" s="54">
        <v>65.16</v>
      </c>
      <c r="G190" s="54">
        <v>65.430000000000007</v>
      </c>
      <c r="H190" s="54">
        <v>65.72</v>
      </c>
      <c r="I190" s="54">
        <v>66.02</v>
      </c>
      <c r="J190" s="54">
        <v>66.31</v>
      </c>
      <c r="K190" s="54">
        <v>66.59</v>
      </c>
      <c r="L190" s="54">
        <v>66.760000000000005</v>
      </c>
      <c r="M190" s="54">
        <v>67.39</v>
      </c>
      <c r="N190" s="54">
        <v>68.03</v>
      </c>
      <c r="O190" s="55"/>
      <c r="P190" s="56"/>
      <c r="Q190" s="56"/>
      <c r="R190" s="56"/>
      <c r="S190" s="56"/>
      <c r="T190" s="57"/>
    </row>
    <row r="191" spans="1:20" ht="13.5" customHeight="1" x14ac:dyDescent="0.2">
      <c r="A191" s="53" t="s">
        <v>244</v>
      </c>
      <c r="B191" s="54" t="s">
        <v>245</v>
      </c>
      <c r="C191" s="54">
        <v>4</v>
      </c>
      <c r="D191" s="54">
        <v>64.290000000000006</v>
      </c>
      <c r="E191" s="54">
        <v>64.87</v>
      </c>
      <c r="F191" s="54">
        <v>65.16</v>
      </c>
      <c r="G191" s="54">
        <v>65.430000000000007</v>
      </c>
      <c r="H191" s="54">
        <v>65.72</v>
      </c>
      <c r="I191" s="54">
        <v>66.02</v>
      </c>
      <c r="J191" s="54">
        <v>66.31</v>
      </c>
      <c r="K191" s="54">
        <v>66.59</v>
      </c>
      <c r="L191" s="54">
        <v>66.760000000000005</v>
      </c>
      <c r="M191" s="54">
        <v>67.39</v>
      </c>
      <c r="N191" s="54">
        <v>68.03</v>
      </c>
      <c r="O191" s="55"/>
      <c r="P191" s="56"/>
      <c r="Q191" s="56"/>
      <c r="R191" s="56"/>
      <c r="S191" s="56"/>
      <c r="T191" s="57"/>
    </row>
    <row r="192" spans="1:20" ht="13.5" customHeight="1" x14ac:dyDescent="0.2">
      <c r="A192" s="53" t="s">
        <v>246</v>
      </c>
      <c r="B192" s="54" t="s">
        <v>247</v>
      </c>
      <c r="C192" s="54">
        <v>4</v>
      </c>
      <c r="D192" s="54">
        <v>64.290000000000006</v>
      </c>
      <c r="E192" s="54">
        <v>64.87</v>
      </c>
      <c r="F192" s="54">
        <v>65.16</v>
      </c>
      <c r="G192" s="54">
        <v>65.430000000000007</v>
      </c>
      <c r="H192" s="54">
        <v>65.72</v>
      </c>
      <c r="I192" s="54">
        <v>66.02</v>
      </c>
      <c r="J192" s="54">
        <v>66.31</v>
      </c>
      <c r="K192" s="54">
        <v>66.59</v>
      </c>
      <c r="L192" s="54">
        <v>66.760000000000005</v>
      </c>
      <c r="M192" s="54">
        <v>67.39</v>
      </c>
      <c r="N192" s="54">
        <v>68.03</v>
      </c>
      <c r="O192" s="55"/>
      <c r="P192" s="56"/>
      <c r="Q192" s="56"/>
      <c r="R192" s="56"/>
      <c r="S192" s="56"/>
      <c r="T192" s="57"/>
    </row>
    <row r="193" spans="1:20" ht="13.5" customHeight="1" x14ac:dyDescent="0.2">
      <c r="A193" s="53" t="s">
        <v>248</v>
      </c>
      <c r="B193" s="54" t="s">
        <v>239</v>
      </c>
      <c r="C193" s="54">
        <v>4</v>
      </c>
      <c r="D193" s="54">
        <v>46.48</v>
      </c>
      <c r="E193" s="54">
        <v>46.88</v>
      </c>
      <c r="F193" s="54">
        <v>47.09</v>
      </c>
      <c r="G193" s="54">
        <v>47.3</v>
      </c>
      <c r="H193" s="54">
        <v>47.51</v>
      </c>
      <c r="I193" s="54">
        <v>47.71</v>
      </c>
      <c r="J193" s="54">
        <v>47.93</v>
      </c>
      <c r="K193" s="54">
        <v>48.14</v>
      </c>
      <c r="L193" s="54">
        <v>48.26</v>
      </c>
      <c r="M193" s="54">
        <v>48.71</v>
      </c>
      <c r="N193" s="54">
        <v>49.17</v>
      </c>
      <c r="O193" s="55"/>
      <c r="P193" s="56"/>
      <c r="Q193" s="56"/>
      <c r="R193" s="56"/>
      <c r="S193" s="56"/>
      <c r="T193" s="57"/>
    </row>
    <row r="194" spans="1:20" ht="13.5" customHeight="1" x14ac:dyDescent="0.2">
      <c r="A194" s="53" t="s">
        <v>249</v>
      </c>
      <c r="B194" s="54" t="s">
        <v>250</v>
      </c>
      <c r="C194" s="54">
        <v>4</v>
      </c>
      <c r="D194" s="54">
        <v>64.290000000000006</v>
      </c>
      <c r="E194" s="54">
        <v>64.87</v>
      </c>
      <c r="F194" s="54">
        <v>65.16</v>
      </c>
      <c r="G194" s="54">
        <v>65.430000000000007</v>
      </c>
      <c r="H194" s="54">
        <v>65.72</v>
      </c>
      <c r="I194" s="54">
        <v>66.02</v>
      </c>
      <c r="J194" s="54">
        <v>66.31</v>
      </c>
      <c r="K194" s="54">
        <v>66.59</v>
      </c>
      <c r="L194" s="54">
        <v>66.760000000000005</v>
      </c>
      <c r="M194" s="54">
        <v>67.39</v>
      </c>
      <c r="N194" s="54">
        <v>68.03</v>
      </c>
      <c r="O194" s="55"/>
      <c r="P194" s="56"/>
      <c r="Q194" s="56"/>
      <c r="R194" s="56"/>
      <c r="S194" s="56"/>
      <c r="T194" s="57"/>
    </row>
    <row r="195" spans="1:20" ht="13.5" customHeight="1" x14ac:dyDescent="0.2">
      <c r="A195" s="53" t="s">
        <v>251</v>
      </c>
      <c r="B195" s="54" t="s">
        <v>252</v>
      </c>
      <c r="C195" s="54">
        <v>4</v>
      </c>
      <c r="D195" s="54">
        <v>64.290000000000006</v>
      </c>
      <c r="E195" s="54">
        <v>64.87</v>
      </c>
      <c r="F195" s="54">
        <v>65.16</v>
      </c>
      <c r="G195" s="54">
        <v>65.430000000000007</v>
      </c>
      <c r="H195" s="54">
        <v>65.72</v>
      </c>
      <c r="I195" s="54">
        <v>66.02</v>
      </c>
      <c r="J195" s="54">
        <v>66.31</v>
      </c>
      <c r="K195" s="54">
        <v>66.59</v>
      </c>
      <c r="L195" s="54">
        <v>66.760000000000005</v>
      </c>
      <c r="M195" s="54">
        <v>67.39</v>
      </c>
      <c r="N195" s="54">
        <v>68.03</v>
      </c>
      <c r="O195" s="55"/>
      <c r="P195" s="56"/>
      <c r="Q195" s="56"/>
      <c r="R195" s="56"/>
      <c r="S195" s="56"/>
      <c r="T195" s="57"/>
    </row>
    <row r="196" spans="1:20" ht="13.5" customHeight="1" x14ac:dyDescent="0.2">
      <c r="A196" s="53" t="s">
        <v>253</v>
      </c>
      <c r="B196" s="54" t="s">
        <v>254</v>
      </c>
      <c r="C196" s="54">
        <v>4</v>
      </c>
      <c r="D196" s="54">
        <v>64.290000000000006</v>
      </c>
      <c r="E196" s="54">
        <v>64.87</v>
      </c>
      <c r="F196" s="54">
        <v>65.16</v>
      </c>
      <c r="G196" s="54">
        <v>65.430000000000007</v>
      </c>
      <c r="H196" s="54">
        <v>65.72</v>
      </c>
      <c r="I196" s="54">
        <v>66.02</v>
      </c>
      <c r="J196" s="54">
        <v>66.31</v>
      </c>
      <c r="K196" s="54">
        <v>66.59</v>
      </c>
      <c r="L196" s="54">
        <v>66.760000000000005</v>
      </c>
      <c r="M196" s="54">
        <v>67.39</v>
      </c>
      <c r="N196" s="54">
        <v>68.03</v>
      </c>
      <c r="O196" s="55"/>
      <c r="P196" s="56"/>
      <c r="Q196" s="56"/>
      <c r="R196" s="56"/>
      <c r="S196" s="56"/>
      <c r="T196" s="57"/>
    </row>
    <row r="197" spans="1:20" ht="13.5" customHeight="1" x14ac:dyDescent="0.2">
      <c r="A197" s="53">
        <v>1245</v>
      </c>
      <c r="B197" s="54" t="s">
        <v>255</v>
      </c>
      <c r="C197" s="54">
        <v>6</v>
      </c>
      <c r="D197" s="54">
        <v>35.51</v>
      </c>
      <c r="E197" s="54">
        <v>35.83</v>
      </c>
      <c r="F197" s="54">
        <v>35.979999999999997</v>
      </c>
      <c r="G197" s="54">
        <v>36.14</v>
      </c>
      <c r="H197" s="54">
        <v>36.299999999999997</v>
      </c>
      <c r="I197" s="54">
        <v>36.450000000000003</v>
      </c>
      <c r="J197" s="54">
        <v>36.61</v>
      </c>
      <c r="K197" s="54">
        <v>36.770000000000003</v>
      </c>
      <c r="L197" s="54">
        <v>36.869999999999997</v>
      </c>
      <c r="M197" s="54">
        <v>37.22</v>
      </c>
      <c r="N197" s="54">
        <v>37.57</v>
      </c>
      <c r="O197" s="55"/>
      <c r="P197" s="56"/>
      <c r="Q197" s="56"/>
      <c r="R197" s="56"/>
      <c r="S197" s="56"/>
      <c r="T197" s="57"/>
    </row>
    <row r="198" spans="1:20" ht="13.5" customHeight="1" x14ac:dyDescent="0.2">
      <c r="A198" s="53">
        <v>1246</v>
      </c>
      <c r="B198" s="54" t="s">
        <v>256</v>
      </c>
      <c r="C198" s="54">
        <v>6</v>
      </c>
      <c r="D198" s="54">
        <v>47.85</v>
      </c>
      <c r="E198" s="54">
        <v>48.27</v>
      </c>
      <c r="F198" s="54">
        <v>48.48</v>
      </c>
      <c r="G198" s="54">
        <v>48.69</v>
      </c>
      <c r="H198" s="54">
        <v>48.9</v>
      </c>
      <c r="I198" s="54">
        <v>49.13</v>
      </c>
      <c r="J198" s="54">
        <v>49.34</v>
      </c>
      <c r="K198" s="54">
        <v>49.55</v>
      </c>
      <c r="L198" s="54">
        <v>49.68</v>
      </c>
      <c r="M198" s="54">
        <v>50.15</v>
      </c>
      <c r="N198" s="54">
        <v>50.63</v>
      </c>
      <c r="O198" s="55"/>
      <c r="P198" s="56"/>
      <c r="Q198" s="56"/>
      <c r="R198" s="56"/>
      <c r="S198" s="56"/>
      <c r="T198" s="57"/>
    </row>
    <row r="199" spans="1:20" ht="13.5" customHeight="1" x14ac:dyDescent="0.2">
      <c r="A199" s="53">
        <v>1247</v>
      </c>
      <c r="B199" s="54" t="s">
        <v>257</v>
      </c>
      <c r="C199" s="54">
        <v>6</v>
      </c>
      <c r="D199" s="54">
        <v>58.82</v>
      </c>
      <c r="E199" s="54">
        <v>59.33</v>
      </c>
      <c r="F199" s="54">
        <v>59.6</v>
      </c>
      <c r="G199" s="54">
        <v>59.85</v>
      </c>
      <c r="H199" s="54">
        <v>60.12</v>
      </c>
      <c r="I199" s="54">
        <v>60.39</v>
      </c>
      <c r="J199" s="54">
        <v>60.65</v>
      </c>
      <c r="K199" s="54">
        <v>60.92</v>
      </c>
      <c r="L199" s="54">
        <v>61.07</v>
      </c>
      <c r="M199" s="54">
        <v>61.65</v>
      </c>
      <c r="N199" s="54">
        <v>62.23</v>
      </c>
      <c r="O199" s="55"/>
      <c r="P199" s="56"/>
      <c r="Q199" s="56"/>
      <c r="R199" s="56"/>
      <c r="S199" s="56"/>
      <c r="T199" s="57"/>
    </row>
    <row r="200" spans="1:20" ht="13.5" customHeight="1" x14ac:dyDescent="0.2">
      <c r="A200" s="53">
        <v>1254</v>
      </c>
      <c r="B200" s="54" t="s">
        <v>258</v>
      </c>
      <c r="C200" s="54">
        <v>32</v>
      </c>
      <c r="D200" s="54">
        <v>3.96</v>
      </c>
      <c r="E200" s="54">
        <v>3.99</v>
      </c>
      <c r="F200" s="54">
        <v>4.0199999999999996</v>
      </c>
      <c r="G200" s="54">
        <v>4.04</v>
      </c>
      <c r="H200" s="54">
        <v>4.05</v>
      </c>
      <c r="I200" s="54">
        <v>4.07</v>
      </c>
      <c r="J200" s="54">
        <v>4.09</v>
      </c>
      <c r="K200" s="54">
        <v>4.0999999999999996</v>
      </c>
      <c r="L200" s="54">
        <v>4.1100000000000003</v>
      </c>
      <c r="M200" s="54">
        <v>4.1500000000000004</v>
      </c>
      <c r="N200" s="54">
        <v>4.2</v>
      </c>
      <c r="O200" s="55"/>
      <c r="P200" s="56"/>
      <c r="Q200" s="56"/>
      <c r="R200" s="56"/>
      <c r="S200" s="56"/>
      <c r="T200" s="57"/>
    </row>
    <row r="201" spans="1:20" ht="13.5" customHeight="1" x14ac:dyDescent="0.2">
      <c r="A201" s="53">
        <v>1255</v>
      </c>
      <c r="B201" s="54" t="s">
        <v>259</v>
      </c>
      <c r="C201" s="54">
        <v>6</v>
      </c>
      <c r="D201" s="54">
        <v>6.72</v>
      </c>
      <c r="E201" s="54">
        <v>6.77</v>
      </c>
      <c r="F201" s="54">
        <v>6.81</v>
      </c>
      <c r="G201" s="54">
        <v>6.84</v>
      </c>
      <c r="H201" s="54">
        <v>6.87</v>
      </c>
      <c r="I201" s="54">
        <v>6.9</v>
      </c>
      <c r="J201" s="54">
        <v>6.92</v>
      </c>
      <c r="K201" s="54">
        <v>6.95</v>
      </c>
      <c r="L201" s="54">
        <v>6.98</v>
      </c>
      <c r="M201" s="54">
        <v>7.04</v>
      </c>
      <c r="N201" s="54">
        <v>7.1</v>
      </c>
      <c r="O201" s="55"/>
      <c r="P201" s="56"/>
      <c r="Q201" s="56"/>
      <c r="R201" s="56"/>
      <c r="S201" s="56"/>
      <c r="T201" s="57"/>
    </row>
    <row r="202" spans="1:20" ht="13.5" customHeight="1" x14ac:dyDescent="0.2">
      <c r="A202" s="53">
        <v>1257</v>
      </c>
      <c r="B202" s="54" t="s">
        <v>260</v>
      </c>
      <c r="C202" s="54">
        <v>6</v>
      </c>
      <c r="D202" s="54">
        <v>28.65</v>
      </c>
      <c r="E202" s="54">
        <v>28.9</v>
      </c>
      <c r="F202" s="54">
        <v>29.03</v>
      </c>
      <c r="G202" s="54">
        <v>29.16</v>
      </c>
      <c r="H202" s="54">
        <v>29.29</v>
      </c>
      <c r="I202" s="54">
        <v>29.42</v>
      </c>
      <c r="J202" s="54">
        <v>29.54</v>
      </c>
      <c r="K202" s="54">
        <v>29.68</v>
      </c>
      <c r="L202" s="54">
        <v>29.76</v>
      </c>
      <c r="M202" s="54">
        <v>30.03</v>
      </c>
      <c r="N202" s="54">
        <v>30.32</v>
      </c>
      <c r="O202" s="55"/>
      <c r="P202" s="56"/>
      <c r="Q202" s="56"/>
      <c r="R202" s="56"/>
      <c r="S202" s="56"/>
      <c r="T202" s="57"/>
    </row>
    <row r="203" spans="1:20" ht="13.5" customHeight="1" x14ac:dyDescent="0.2">
      <c r="A203" s="53">
        <v>1258</v>
      </c>
      <c r="B203" s="54" t="s">
        <v>261</v>
      </c>
      <c r="C203" s="54">
        <v>6</v>
      </c>
      <c r="D203" s="54">
        <v>35.51</v>
      </c>
      <c r="E203" s="54">
        <v>35.83</v>
      </c>
      <c r="F203" s="54">
        <v>35.979999999999997</v>
      </c>
      <c r="G203" s="54">
        <v>36.14</v>
      </c>
      <c r="H203" s="54">
        <v>36.299999999999997</v>
      </c>
      <c r="I203" s="54">
        <v>36.450000000000003</v>
      </c>
      <c r="J203" s="54">
        <v>36.61</v>
      </c>
      <c r="K203" s="54">
        <v>36.770000000000003</v>
      </c>
      <c r="L203" s="54">
        <v>36.869999999999997</v>
      </c>
      <c r="M203" s="54">
        <v>37.22</v>
      </c>
      <c r="N203" s="54">
        <v>37.57</v>
      </c>
      <c r="O203" s="55"/>
      <c r="P203" s="56"/>
      <c r="Q203" s="56"/>
      <c r="R203" s="56"/>
      <c r="S203" s="56"/>
      <c r="T203" s="57"/>
    </row>
    <row r="204" spans="1:20" ht="13.5" customHeight="1" x14ac:dyDescent="0.2">
      <c r="A204" s="53">
        <v>1259</v>
      </c>
      <c r="B204" s="54" t="s">
        <v>262</v>
      </c>
      <c r="C204" s="54">
        <v>6</v>
      </c>
      <c r="D204" s="54">
        <v>47.85</v>
      </c>
      <c r="E204" s="54">
        <v>48.27</v>
      </c>
      <c r="F204" s="54">
        <v>48.48</v>
      </c>
      <c r="G204" s="54">
        <v>48.69</v>
      </c>
      <c r="H204" s="54">
        <v>48.9</v>
      </c>
      <c r="I204" s="54">
        <v>49.13</v>
      </c>
      <c r="J204" s="54">
        <v>49.34</v>
      </c>
      <c r="K204" s="54">
        <v>49.55</v>
      </c>
      <c r="L204" s="54">
        <v>49.68</v>
      </c>
      <c r="M204" s="54">
        <v>50.15</v>
      </c>
      <c r="N204" s="54">
        <v>50.63</v>
      </c>
      <c r="O204" s="55"/>
      <c r="P204" s="56"/>
      <c r="Q204" s="56"/>
      <c r="R204" s="56"/>
      <c r="S204" s="56"/>
      <c r="T204" s="57"/>
    </row>
    <row r="205" spans="1:20" ht="13.5" customHeight="1" x14ac:dyDescent="0.2">
      <c r="A205" s="53">
        <v>1266</v>
      </c>
      <c r="B205" s="54" t="s">
        <v>263</v>
      </c>
      <c r="C205" s="54">
        <v>30</v>
      </c>
      <c r="D205" s="54">
        <v>17.75</v>
      </c>
      <c r="E205" s="54">
        <v>17.91</v>
      </c>
      <c r="F205" s="54">
        <v>17.989999999999998</v>
      </c>
      <c r="G205" s="54">
        <v>18.07</v>
      </c>
      <c r="H205" s="54">
        <v>18.149999999999999</v>
      </c>
      <c r="I205" s="54">
        <v>18.23</v>
      </c>
      <c r="J205" s="54">
        <v>18.309999999999999</v>
      </c>
      <c r="K205" s="54">
        <v>18.39</v>
      </c>
      <c r="L205" s="54">
        <v>18.440000000000001</v>
      </c>
      <c r="M205" s="54">
        <v>18.61</v>
      </c>
      <c r="N205" s="54">
        <v>18.79</v>
      </c>
      <c r="O205" s="55"/>
      <c r="P205" s="56"/>
      <c r="Q205" s="56"/>
      <c r="R205" s="56"/>
      <c r="S205" s="56"/>
      <c r="T205" s="57"/>
    </row>
    <row r="206" spans="1:20" ht="13.5" customHeight="1" x14ac:dyDescent="0.2">
      <c r="A206" s="53">
        <v>1289</v>
      </c>
      <c r="B206" s="54" t="s">
        <v>264</v>
      </c>
      <c r="C206" s="54">
        <v>6</v>
      </c>
      <c r="D206" s="54">
        <v>49.21</v>
      </c>
      <c r="E206" s="54">
        <v>49.65</v>
      </c>
      <c r="F206" s="54">
        <v>49.87</v>
      </c>
      <c r="G206" s="54">
        <v>50.09</v>
      </c>
      <c r="H206" s="54">
        <v>50.31</v>
      </c>
      <c r="I206" s="54">
        <v>50.53</v>
      </c>
      <c r="J206" s="54">
        <v>50.76</v>
      </c>
      <c r="K206" s="54">
        <v>50.98</v>
      </c>
      <c r="L206" s="54">
        <v>51.11</v>
      </c>
      <c r="M206" s="54">
        <v>51.59</v>
      </c>
      <c r="N206" s="54">
        <v>52.08</v>
      </c>
      <c r="O206" s="55"/>
      <c r="P206" s="56"/>
      <c r="Q206" s="56"/>
      <c r="R206" s="56"/>
      <c r="S206" s="56"/>
      <c r="T206" s="57"/>
    </row>
    <row r="207" spans="1:20" ht="13.5" customHeight="1" x14ac:dyDescent="0.2">
      <c r="A207" s="53">
        <v>1290</v>
      </c>
      <c r="B207" s="54" t="s">
        <v>265</v>
      </c>
      <c r="C207" s="54">
        <v>3</v>
      </c>
      <c r="D207" s="54">
        <v>176.85</v>
      </c>
      <c r="E207" s="54">
        <v>178.42</v>
      </c>
      <c r="F207" s="54">
        <v>179.2</v>
      </c>
      <c r="G207" s="54">
        <v>179.99</v>
      </c>
      <c r="H207" s="54">
        <v>180.78</v>
      </c>
      <c r="I207" s="54">
        <v>181.58</v>
      </c>
      <c r="J207" s="54">
        <v>182.38</v>
      </c>
      <c r="K207" s="54">
        <v>183.18</v>
      </c>
      <c r="L207" s="54">
        <v>183.64</v>
      </c>
      <c r="M207" s="54">
        <v>185.37</v>
      </c>
      <c r="N207" s="54">
        <v>187.13</v>
      </c>
      <c r="O207" s="55"/>
      <c r="P207" s="56"/>
      <c r="Q207" s="56"/>
      <c r="R207" s="56"/>
      <c r="S207" s="56"/>
      <c r="T207" s="57"/>
    </row>
    <row r="208" spans="1:20" ht="13.5" customHeight="1" x14ac:dyDescent="0.2">
      <c r="A208" s="53" t="s">
        <v>266</v>
      </c>
      <c r="B208" s="54" t="s">
        <v>265</v>
      </c>
      <c r="C208" s="54">
        <v>3</v>
      </c>
      <c r="D208" s="54">
        <v>149.22</v>
      </c>
      <c r="E208" s="54">
        <v>150.54</v>
      </c>
      <c r="F208" s="54">
        <v>151.19999999999999</v>
      </c>
      <c r="G208" s="54">
        <v>151.86000000000001</v>
      </c>
      <c r="H208" s="54">
        <v>152.53</v>
      </c>
      <c r="I208" s="54">
        <v>153.19999999999999</v>
      </c>
      <c r="J208" s="54">
        <v>153.87</v>
      </c>
      <c r="K208" s="54">
        <v>154.55000000000001</v>
      </c>
      <c r="L208" s="54">
        <v>154.94</v>
      </c>
      <c r="M208" s="54">
        <v>156.41</v>
      </c>
      <c r="N208" s="54">
        <v>157.88999999999999</v>
      </c>
      <c r="O208" s="55"/>
      <c r="P208" s="56"/>
      <c r="Q208" s="56"/>
      <c r="R208" s="56"/>
      <c r="S208" s="56"/>
      <c r="T208" s="57"/>
    </row>
    <row r="209" spans="1:20" ht="13.5" customHeight="1" x14ac:dyDescent="0.2">
      <c r="A209" s="53">
        <v>1291</v>
      </c>
      <c r="B209" s="54" t="s">
        <v>267</v>
      </c>
      <c r="C209" s="54">
        <v>6</v>
      </c>
      <c r="D209" s="54">
        <v>47.85</v>
      </c>
      <c r="E209" s="54">
        <v>48.27</v>
      </c>
      <c r="F209" s="54">
        <v>48.48</v>
      </c>
      <c r="G209" s="54">
        <v>48.69</v>
      </c>
      <c r="H209" s="54">
        <v>48.9</v>
      </c>
      <c r="I209" s="54">
        <v>49.13</v>
      </c>
      <c r="J209" s="54">
        <v>49.34</v>
      </c>
      <c r="K209" s="54">
        <v>49.55</v>
      </c>
      <c r="L209" s="54">
        <v>49.68</v>
      </c>
      <c r="M209" s="54">
        <v>50.15</v>
      </c>
      <c r="N209" s="54">
        <v>50.63</v>
      </c>
      <c r="O209" s="55"/>
      <c r="P209" s="56"/>
      <c r="Q209" s="56"/>
      <c r="R209" s="56"/>
      <c r="S209" s="56"/>
      <c r="T209" s="57"/>
    </row>
    <row r="210" spans="1:20" ht="13.5" customHeight="1" x14ac:dyDescent="0.2">
      <c r="A210" s="53" t="s">
        <v>268</v>
      </c>
      <c r="B210" s="54" t="s">
        <v>267</v>
      </c>
      <c r="C210" s="54">
        <v>6</v>
      </c>
      <c r="D210" s="54">
        <v>39.67</v>
      </c>
      <c r="E210" s="54">
        <v>40.020000000000003</v>
      </c>
      <c r="F210" s="54">
        <v>40.200000000000003</v>
      </c>
      <c r="G210" s="54">
        <v>40.369999999999997</v>
      </c>
      <c r="H210" s="54">
        <v>40.56</v>
      </c>
      <c r="I210" s="54">
        <v>40.74</v>
      </c>
      <c r="J210" s="54">
        <v>40.92</v>
      </c>
      <c r="K210" s="54">
        <v>41.1</v>
      </c>
      <c r="L210" s="54">
        <v>41.19</v>
      </c>
      <c r="M210" s="54">
        <v>41.59</v>
      </c>
      <c r="N210" s="54">
        <v>41.98</v>
      </c>
      <c r="O210" s="55"/>
      <c r="P210" s="56"/>
      <c r="Q210" s="56"/>
      <c r="R210" s="56"/>
      <c r="S210" s="56"/>
      <c r="T210" s="57"/>
    </row>
    <row r="211" spans="1:20" ht="13.5" customHeight="1" x14ac:dyDescent="0.2">
      <c r="A211" s="53">
        <v>1311</v>
      </c>
      <c r="B211" s="54" t="s">
        <v>269</v>
      </c>
      <c r="C211" s="54">
        <v>6</v>
      </c>
      <c r="D211" s="54">
        <v>10.83</v>
      </c>
      <c r="E211" s="54">
        <v>10.93</v>
      </c>
      <c r="F211" s="54">
        <v>10.97</v>
      </c>
      <c r="G211" s="54">
        <v>11.02</v>
      </c>
      <c r="H211" s="54">
        <v>11.08</v>
      </c>
      <c r="I211" s="54">
        <v>11.12</v>
      </c>
      <c r="J211" s="54">
        <v>11.17</v>
      </c>
      <c r="K211" s="54">
        <v>11.21</v>
      </c>
      <c r="L211" s="54">
        <v>11.25</v>
      </c>
      <c r="M211" s="54">
        <v>11.35</v>
      </c>
      <c r="N211" s="54">
        <v>11.46</v>
      </c>
      <c r="O211" s="55"/>
      <c r="P211" s="56"/>
      <c r="Q211" s="56"/>
      <c r="R211" s="56"/>
      <c r="S211" s="56"/>
      <c r="T211" s="57"/>
    </row>
    <row r="212" spans="1:20" ht="13.5" customHeight="1" x14ac:dyDescent="0.2">
      <c r="A212" s="53">
        <v>1312</v>
      </c>
      <c r="B212" s="54" t="s">
        <v>270</v>
      </c>
      <c r="C212" s="54">
        <v>6</v>
      </c>
      <c r="D212" s="54">
        <v>13.64</v>
      </c>
      <c r="E212" s="54">
        <v>13.76</v>
      </c>
      <c r="F212" s="54">
        <v>13.82</v>
      </c>
      <c r="G212" s="54">
        <v>13.89</v>
      </c>
      <c r="H212" s="54">
        <v>13.94</v>
      </c>
      <c r="I212" s="54">
        <v>14</v>
      </c>
      <c r="J212" s="54">
        <v>14.07</v>
      </c>
      <c r="K212" s="54">
        <v>14.13</v>
      </c>
      <c r="L212" s="54">
        <v>14.16</v>
      </c>
      <c r="M212" s="54">
        <v>14.3</v>
      </c>
      <c r="N212" s="54">
        <v>14.43</v>
      </c>
      <c r="O212" s="55"/>
      <c r="P212" s="56"/>
      <c r="Q212" s="56"/>
      <c r="R212" s="56"/>
      <c r="S212" s="56"/>
      <c r="T212" s="57"/>
    </row>
    <row r="213" spans="1:20" ht="13.5" customHeight="1" x14ac:dyDescent="0.2">
      <c r="A213" s="53" t="s">
        <v>271</v>
      </c>
      <c r="B213" s="54" t="s">
        <v>272</v>
      </c>
      <c r="C213" s="54">
        <v>12</v>
      </c>
      <c r="D213" s="54">
        <v>6.77</v>
      </c>
      <c r="E213" s="54">
        <v>6.84</v>
      </c>
      <c r="F213" s="54">
        <v>6.86</v>
      </c>
      <c r="G213" s="54">
        <v>6.89</v>
      </c>
      <c r="H213" s="54">
        <v>6.92</v>
      </c>
      <c r="I213" s="54">
        <v>6.95</v>
      </c>
      <c r="J213" s="54">
        <v>6.99</v>
      </c>
      <c r="K213" s="54">
        <v>7.02</v>
      </c>
      <c r="L213" s="54">
        <v>7.03</v>
      </c>
      <c r="M213" s="54">
        <v>7.1</v>
      </c>
      <c r="N213" s="54">
        <v>7.17</v>
      </c>
      <c r="O213" s="55"/>
      <c r="P213" s="56"/>
      <c r="Q213" s="56"/>
      <c r="R213" s="56"/>
      <c r="S213" s="56"/>
      <c r="T213" s="57"/>
    </row>
    <row r="214" spans="1:20" ht="13.5" customHeight="1" x14ac:dyDescent="0.2">
      <c r="A214" s="53" t="s">
        <v>273</v>
      </c>
      <c r="B214" s="54" t="s">
        <v>274</v>
      </c>
      <c r="C214" s="54">
        <v>12</v>
      </c>
      <c r="D214" s="54">
        <v>3.77</v>
      </c>
      <c r="E214" s="54">
        <v>3.8</v>
      </c>
      <c r="F214" s="54">
        <v>3.82</v>
      </c>
      <c r="G214" s="54">
        <v>3.83</v>
      </c>
      <c r="H214" s="54">
        <v>3.85</v>
      </c>
      <c r="I214" s="54">
        <v>3.87</v>
      </c>
      <c r="J214" s="54">
        <v>3.88</v>
      </c>
      <c r="K214" s="54">
        <v>3.9</v>
      </c>
      <c r="L214" s="54">
        <v>3.91</v>
      </c>
      <c r="M214" s="54">
        <v>3.95</v>
      </c>
      <c r="N214" s="54">
        <v>3.98</v>
      </c>
      <c r="O214" s="55"/>
      <c r="P214" s="56"/>
      <c r="Q214" s="56"/>
      <c r="R214" s="56"/>
      <c r="S214" s="56"/>
      <c r="T214" s="57"/>
    </row>
    <row r="215" spans="1:20" ht="13.5" customHeight="1" x14ac:dyDescent="0.2">
      <c r="A215" s="53">
        <v>1361</v>
      </c>
      <c r="B215" s="54" t="s">
        <v>275</v>
      </c>
      <c r="C215" s="54">
        <v>6</v>
      </c>
      <c r="D215" s="54">
        <v>17.34</v>
      </c>
      <c r="E215" s="54">
        <v>17.5</v>
      </c>
      <c r="F215" s="54">
        <v>17.57</v>
      </c>
      <c r="G215" s="54">
        <v>17.649999999999999</v>
      </c>
      <c r="H215" s="54">
        <v>17.73</v>
      </c>
      <c r="I215" s="54">
        <v>17.809999999999999</v>
      </c>
      <c r="J215" s="54">
        <v>17.88</v>
      </c>
      <c r="K215" s="54">
        <v>17.97</v>
      </c>
      <c r="L215" s="54">
        <v>18.010000000000002</v>
      </c>
      <c r="M215" s="54">
        <v>18.18</v>
      </c>
      <c r="N215" s="54">
        <v>18.350000000000001</v>
      </c>
      <c r="O215" s="55"/>
      <c r="P215" s="56"/>
      <c r="Q215" s="56"/>
      <c r="R215" s="56"/>
      <c r="S215" s="56"/>
      <c r="T215" s="57"/>
    </row>
    <row r="216" spans="1:20" ht="13.5" customHeight="1" x14ac:dyDescent="0.2">
      <c r="A216" s="53">
        <v>1362</v>
      </c>
      <c r="B216" s="54" t="s">
        <v>276</v>
      </c>
      <c r="C216" s="54">
        <v>6</v>
      </c>
      <c r="D216" s="54">
        <v>23.17</v>
      </c>
      <c r="E216" s="54">
        <v>23.38</v>
      </c>
      <c r="F216" s="54">
        <v>23.47</v>
      </c>
      <c r="G216" s="54">
        <v>23.58</v>
      </c>
      <c r="H216" s="54">
        <v>23.69</v>
      </c>
      <c r="I216" s="54">
        <v>23.79</v>
      </c>
      <c r="J216" s="54">
        <v>23.89</v>
      </c>
      <c r="K216" s="54">
        <v>23.99</v>
      </c>
      <c r="L216" s="54">
        <v>24.06</v>
      </c>
      <c r="M216" s="54">
        <v>24.28</v>
      </c>
      <c r="N216" s="54">
        <v>24.52</v>
      </c>
      <c r="O216" s="55"/>
      <c r="P216" s="56"/>
      <c r="Q216" s="56"/>
      <c r="R216" s="56"/>
      <c r="S216" s="56"/>
      <c r="T216" s="57"/>
    </row>
    <row r="217" spans="1:20" ht="13.5" customHeight="1" x14ac:dyDescent="0.2">
      <c r="A217" s="53">
        <v>1389</v>
      </c>
      <c r="B217" s="54" t="s">
        <v>277</v>
      </c>
      <c r="C217" s="54">
        <v>12</v>
      </c>
      <c r="D217" s="54">
        <v>21.42</v>
      </c>
      <c r="E217" s="54">
        <v>21.61</v>
      </c>
      <c r="F217" s="54">
        <v>21.69</v>
      </c>
      <c r="G217" s="54">
        <v>21.79</v>
      </c>
      <c r="H217" s="54">
        <v>21.89</v>
      </c>
      <c r="I217" s="54">
        <v>21.98</v>
      </c>
      <c r="J217" s="54">
        <v>22.09</v>
      </c>
      <c r="K217" s="54">
        <v>22.18</v>
      </c>
      <c r="L217" s="54">
        <v>22.24</v>
      </c>
      <c r="M217" s="54">
        <v>22.45</v>
      </c>
      <c r="N217" s="54">
        <v>22.66</v>
      </c>
      <c r="O217" s="55"/>
      <c r="P217" s="56"/>
      <c r="Q217" s="56"/>
      <c r="R217" s="56"/>
      <c r="S217" s="56"/>
      <c r="T217" s="57"/>
    </row>
    <row r="218" spans="1:20" ht="13.5" customHeight="1" x14ac:dyDescent="0.2">
      <c r="A218" s="53">
        <v>1400</v>
      </c>
      <c r="B218" s="54" t="s">
        <v>278</v>
      </c>
      <c r="C218" s="54">
        <v>12</v>
      </c>
      <c r="D218" s="54">
        <v>5.41</v>
      </c>
      <c r="E218" s="54">
        <v>5.46</v>
      </c>
      <c r="F218" s="54">
        <v>5.48</v>
      </c>
      <c r="G218" s="54">
        <v>5.51</v>
      </c>
      <c r="H218" s="54">
        <v>5.54</v>
      </c>
      <c r="I218" s="54">
        <v>5.56</v>
      </c>
      <c r="J218" s="54">
        <v>5.58</v>
      </c>
      <c r="K218" s="54">
        <v>5.61</v>
      </c>
      <c r="L218" s="54">
        <v>5.62</v>
      </c>
      <c r="M218" s="54">
        <v>5.68</v>
      </c>
      <c r="N218" s="54">
        <v>5.73</v>
      </c>
      <c r="O218" s="55"/>
      <c r="P218" s="56"/>
      <c r="Q218" s="56"/>
      <c r="R218" s="56"/>
      <c r="S218" s="56"/>
      <c r="T218" s="57"/>
    </row>
    <row r="219" spans="1:20" ht="13.5" customHeight="1" x14ac:dyDescent="0.2">
      <c r="A219" s="53">
        <v>1401</v>
      </c>
      <c r="B219" s="54" t="s">
        <v>279</v>
      </c>
      <c r="C219" s="54">
        <v>12</v>
      </c>
      <c r="D219" s="54">
        <v>8.07</v>
      </c>
      <c r="E219" s="54">
        <v>8.15</v>
      </c>
      <c r="F219" s="54">
        <v>8.18</v>
      </c>
      <c r="G219" s="54">
        <v>8.2200000000000006</v>
      </c>
      <c r="H219" s="54">
        <v>8.25</v>
      </c>
      <c r="I219" s="54">
        <v>8.2899999999999991</v>
      </c>
      <c r="J219" s="54">
        <v>8.33</v>
      </c>
      <c r="K219" s="54">
        <v>8.36</v>
      </c>
      <c r="L219" s="54">
        <v>8.3800000000000008</v>
      </c>
      <c r="M219" s="54">
        <v>8.4700000000000006</v>
      </c>
      <c r="N219" s="54">
        <v>8.5399999999999991</v>
      </c>
      <c r="O219" s="55"/>
      <c r="P219" s="56"/>
      <c r="Q219" s="56"/>
      <c r="R219" s="56"/>
      <c r="S219" s="56"/>
      <c r="T219" s="57"/>
    </row>
    <row r="220" spans="1:20" ht="13.5" customHeight="1" x14ac:dyDescent="0.2">
      <c r="A220" s="53">
        <v>1402</v>
      </c>
      <c r="B220" s="54" t="s">
        <v>280</v>
      </c>
      <c r="C220" s="54">
        <v>12</v>
      </c>
      <c r="D220" s="54">
        <v>8.76</v>
      </c>
      <c r="E220" s="54">
        <v>8.84</v>
      </c>
      <c r="F220" s="54">
        <v>8.8699999999999992</v>
      </c>
      <c r="G220" s="54">
        <v>8.91</v>
      </c>
      <c r="H220" s="54">
        <v>8.9600000000000009</v>
      </c>
      <c r="I220" s="54">
        <v>9</v>
      </c>
      <c r="J220" s="54">
        <v>9.0299999999999994</v>
      </c>
      <c r="K220" s="54">
        <v>9.07</v>
      </c>
      <c r="L220" s="54">
        <v>9.1</v>
      </c>
      <c r="M220" s="54">
        <v>9.18</v>
      </c>
      <c r="N220" s="54">
        <v>9.27</v>
      </c>
      <c r="O220" s="55"/>
      <c r="P220" s="56"/>
      <c r="Q220" s="56"/>
      <c r="R220" s="56"/>
      <c r="S220" s="56"/>
      <c r="T220" s="57"/>
    </row>
    <row r="221" spans="1:20" ht="13.5" customHeight="1" x14ac:dyDescent="0.2">
      <c r="A221" s="53">
        <v>1407</v>
      </c>
      <c r="B221" s="54" t="s">
        <v>281</v>
      </c>
      <c r="C221" s="54">
        <v>6</v>
      </c>
      <c r="D221" s="54">
        <v>14.4</v>
      </c>
      <c r="E221" s="54">
        <v>14.53</v>
      </c>
      <c r="F221" s="54">
        <v>14.59</v>
      </c>
      <c r="G221" s="54">
        <v>14.65</v>
      </c>
      <c r="H221" s="54">
        <v>14.72</v>
      </c>
      <c r="I221" s="54">
        <v>14.78</v>
      </c>
      <c r="J221" s="54">
        <v>14.85</v>
      </c>
      <c r="K221" s="54">
        <v>14.91</v>
      </c>
      <c r="L221" s="54">
        <v>14.95</v>
      </c>
      <c r="M221" s="54">
        <v>15.09</v>
      </c>
      <c r="N221" s="54">
        <v>15.23</v>
      </c>
      <c r="O221" s="55"/>
      <c r="P221" s="56"/>
      <c r="Q221" s="56"/>
      <c r="R221" s="56"/>
      <c r="S221" s="56"/>
      <c r="T221" s="57"/>
    </row>
    <row r="222" spans="1:20" ht="13.5" customHeight="1" x14ac:dyDescent="0.2">
      <c r="A222" s="53">
        <v>1410</v>
      </c>
      <c r="B222" s="54" t="s">
        <v>282</v>
      </c>
      <c r="C222" s="54">
        <v>12</v>
      </c>
      <c r="D222" s="54">
        <v>20.43</v>
      </c>
      <c r="E222" s="54">
        <v>20.61</v>
      </c>
      <c r="F222" s="54">
        <v>20.7</v>
      </c>
      <c r="G222" s="54">
        <v>20.79</v>
      </c>
      <c r="H222" s="54">
        <v>20.88</v>
      </c>
      <c r="I222" s="54">
        <v>20.97</v>
      </c>
      <c r="J222" s="54">
        <v>21.07</v>
      </c>
      <c r="K222" s="54">
        <v>21.16</v>
      </c>
      <c r="L222" s="54">
        <v>21.21</v>
      </c>
      <c r="M222" s="54">
        <v>21.41</v>
      </c>
      <c r="N222" s="54">
        <v>21.62</v>
      </c>
      <c r="O222" s="55"/>
      <c r="P222" s="56"/>
      <c r="Q222" s="56"/>
      <c r="R222" s="56"/>
      <c r="S222" s="56"/>
      <c r="T222" s="57"/>
    </row>
    <row r="223" spans="1:20" ht="13.5" customHeight="1" x14ac:dyDescent="0.2">
      <c r="A223" s="53">
        <v>1411</v>
      </c>
      <c r="B223" s="54" t="s">
        <v>283</v>
      </c>
      <c r="C223" s="54">
        <v>12</v>
      </c>
      <c r="D223" s="54">
        <v>22.62</v>
      </c>
      <c r="E223" s="54">
        <v>22.82</v>
      </c>
      <c r="F223" s="54">
        <v>22.92</v>
      </c>
      <c r="G223" s="54">
        <v>23.03</v>
      </c>
      <c r="H223" s="54">
        <v>23.12</v>
      </c>
      <c r="I223" s="54">
        <v>23.23</v>
      </c>
      <c r="J223" s="54">
        <v>23.32</v>
      </c>
      <c r="K223" s="54">
        <v>23.43</v>
      </c>
      <c r="L223" s="54">
        <v>23.49</v>
      </c>
      <c r="M223" s="54">
        <v>23.71</v>
      </c>
      <c r="N223" s="54">
        <v>23.93</v>
      </c>
      <c r="O223" s="55"/>
      <c r="P223" s="56"/>
      <c r="Q223" s="56"/>
      <c r="R223" s="56"/>
      <c r="S223" s="56"/>
      <c r="T223" s="57"/>
    </row>
    <row r="224" spans="1:20" ht="13.5" customHeight="1" x14ac:dyDescent="0.2">
      <c r="A224" s="53">
        <v>1419</v>
      </c>
      <c r="B224" s="54" t="s">
        <v>284</v>
      </c>
      <c r="C224" s="54">
        <v>6</v>
      </c>
      <c r="D224" s="54">
        <v>14.88</v>
      </c>
      <c r="E224" s="54">
        <v>15.01</v>
      </c>
      <c r="F224" s="54">
        <v>15.07</v>
      </c>
      <c r="G224" s="54">
        <v>15.13</v>
      </c>
      <c r="H224" s="54">
        <v>15.21</v>
      </c>
      <c r="I224" s="54">
        <v>15.27</v>
      </c>
      <c r="J224" s="54">
        <v>15.34</v>
      </c>
      <c r="K224" s="54">
        <v>15.41</v>
      </c>
      <c r="L224" s="54">
        <v>15.44</v>
      </c>
      <c r="M224" s="54">
        <v>15.59</v>
      </c>
      <c r="N224" s="54">
        <v>15.74</v>
      </c>
      <c r="O224" s="55"/>
      <c r="P224" s="56"/>
      <c r="Q224" s="56"/>
      <c r="R224" s="56"/>
      <c r="S224" s="56"/>
      <c r="T224" s="57"/>
    </row>
    <row r="225" spans="1:20" ht="13.5" customHeight="1" x14ac:dyDescent="0.2">
      <c r="A225" s="53">
        <v>1420</v>
      </c>
      <c r="B225" s="54" t="s">
        <v>285</v>
      </c>
      <c r="C225" s="54">
        <v>12</v>
      </c>
      <c r="D225" s="54">
        <v>21.8</v>
      </c>
      <c r="E225" s="54">
        <v>21.99</v>
      </c>
      <c r="F225" s="54">
        <v>22.09</v>
      </c>
      <c r="G225" s="54">
        <v>22.18</v>
      </c>
      <c r="H225" s="54">
        <v>22.28</v>
      </c>
      <c r="I225" s="54">
        <v>22.38</v>
      </c>
      <c r="J225" s="54">
        <v>22.48</v>
      </c>
      <c r="K225" s="54">
        <v>22.58</v>
      </c>
      <c r="L225" s="54">
        <v>22.63</v>
      </c>
      <c r="M225" s="54">
        <v>22.84</v>
      </c>
      <c r="N225" s="54">
        <v>23.07</v>
      </c>
      <c r="O225" s="55"/>
      <c r="P225" s="56"/>
      <c r="Q225" s="56"/>
      <c r="R225" s="56"/>
      <c r="S225" s="56"/>
      <c r="T225" s="57"/>
    </row>
    <row r="226" spans="1:20" ht="13.5" customHeight="1" x14ac:dyDescent="0.2">
      <c r="A226" s="53">
        <v>1421</v>
      </c>
      <c r="B226" s="54" t="s">
        <v>286</v>
      </c>
      <c r="C226" s="54">
        <v>12</v>
      </c>
      <c r="D226" s="54">
        <v>14.94</v>
      </c>
      <c r="E226" s="54">
        <v>15.08</v>
      </c>
      <c r="F226" s="54">
        <v>15.14</v>
      </c>
      <c r="G226" s="54">
        <v>15.21</v>
      </c>
      <c r="H226" s="54">
        <v>15.27</v>
      </c>
      <c r="I226" s="54">
        <v>15.35</v>
      </c>
      <c r="J226" s="54">
        <v>15.41</v>
      </c>
      <c r="K226" s="54">
        <v>15.47</v>
      </c>
      <c r="L226" s="54">
        <v>15.52</v>
      </c>
      <c r="M226" s="54">
        <v>15.67</v>
      </c>
      <c r="N226" s="54">
        <v>15.82</v>
      </c>
      <c r="O226" s="55"/>
      <c r="P226" s="56"/>
      <c r="Q226" s="56"/>
      <c r="R226" s="56"/>
      <c r="S226" s="56"/>
      <c r="T226" s="57"/>
    </row>
    <row r="227" spans="1:20" ht="13.5" customHeight="1" x14ac:dyDescent="0.2">
      <c r="A227" s="53">
        <v>1431</v>
      </c>
      <c r="B227" s="54" t="s">
        <v>287</v>
      </c>
      <c r="C227" s="54">
        <v>12</v>
      </c>
      <c r="D227" s="54">
        <v>12.31</v>
      </c>
      <c r="E227" s="54">
        <v>12.42</v>
      </c>
      <c r="F227" s="54">
        <v>12.47</v>
      </c>
      <c r="G227" s="54">
        <v>12.52</v>
      </c>
      <c r="H227" s="54">
        <v>12.59</v>
      </c>
      <c r="I227" s="54">
        <v>12.64</v>
      </c>
      <c r="J227" s="54">
        <v>12.69</v>
      </c>
      <c r="K227" s="54">
        <v>12.75</v>
      </c>
      <c r="L227" s="54">
        <v>12.78</v>
      </c>
      <c r="M227" s="54">
        <v>12.91</v>
      </c>
      <c r="N227" s="54">
        <v>13.02</v>
      </c>
      <c r="O227" s="55"/>
      <c r="P227" s="56"/>
      <c r="Q227" s="56"/>
      <c r="R227" s="56"/>
      <c r="S227" s="56"/>
      <c r="T227" s="57"/>
    </row>
    <row r="228" spans="1:20" ht="13.5" customHeight="1" x14ac:dyDescent="0.2">
      <c r="A228" s="53">
        <v>1432</v>
      </c>
      <c r="B228" s="54" t="s">
        <v>288</v>
      </c>
      <c r="C228" s="54">
        <v>6</v>
      </c>
      <c r="D228" s="54">
        <v>13.02</v>
      </c>
      <c r="E228" s="54">
        <v>13.14</v>
      </c>
      <c r="F228" s="54">
        <v>13.2</v>
      </c>
      <c r="G228" s="54">
        <v>13.26</v>
      </c>
      <c r="H228" s="54">
        <v>13.31</v>
      </c>
      <c r="I228" s="54">
        <v>13.38</v>
      </c>
      <c r="J228" s="54">
        <v>13.43</v>
      </c>
      <c r="K228" s="54">
        <v>13.49</v>
      </c>
      <c r="L228" s="54">
        <v>13.53</v>
      </c>
      <c r="M228" s="54">
        <v>13.65</v>
      </c>
      <c r="N228" s="54">
        <v>13.78</v>
      </c>
      <c r="O228" s="55"/>
      <c r="P228" s="56"/>
      <c r="Q228" s="56"/>
      <c r="R228" s="56"/>
      <c r="S228" s="56"/>
      <c r="T228" s="57"/>
    </row>
    <row r="229" spans="1:20" ht="13.5" customHeight="1" x14ac:dyDescent="0.2">
      <c r="A229" s="53">
        <v>1433</v>
      </c>
      <c r="B229" s="54" t="s">
        <v>289</v>
      </c>
      <c r="C229" s="54">
        <v>6</v>
      </c>
      <c r="D229" s="54">
        <v>14.65</v>
      </c>
      <c r="E229" s="54">
        <v>14.78</v>
      </c>
      <c r="F229" s="54">
        <v>14.85</v>
      </c>
      <c r="G229" s="54">
        <v>14.92</v>
      </c>
      <c r="H229" s="54">
        <v>14.98</v>
      </c>
      <c r="I229" s="54">
        <v>15.05</v>
      </c>
      <c r="J229" s="54">
        <v>15.11</v>
      </c>
      <c r="K229" s="54">
        <v>15.18</v>
      </c>
      <c r="L229" s="54">
        <v>15.22</v>
      </c>
      <c r="M229" s="54">
        <v>15.36</v>
      </c>
      <c r="N229" s="54">
        <v>15.51</v>
      </c>
      <c r="O229" s="55"/>
      <c r="P229" s="56"/>
      <c r="Q229" s="56"/>
      <c r="R229" s="56"/>
      <c r="S229" s="56"/>
      <c r="T229" s="57"/>
    </row>
    <row r="230" spans="1:20" ht="13.5" customHeight="1" x14ac:dyDescent="0.2">
      <c r="A230" s="53">
        <v>1434</v>
      </c>
      <c r="B230" s="54" t="s">
        <v>290</v>
      </c>
      <c r="C230" s="54">
        <v>6</v>
      </c>
      <c r="D230" s="54">
        <v>17.75</v>
      </c>
      <c r="E230" s="54">
        <v>17.91</v>
      </c>
      <c r="F230" s="54">
        <v>17.989999999999998</v>
      </c>
      <c r="G230" s="54">
        <v>18.07</v>
      </c>
      <c r="H230" s="54">
        <v>18.149999999999999</v>
      </c>
      <c r="I230" s="54">
        <v>18.23</v>
      </c>
      <c r="J230" s="54">
        <v>18.309999999999999</v>
      </c>
      <c r="K230" s="54">
        <v>18.39</v>
      </c>
      <c r="L230" s="54">
        <v>18.440000000000001</v>
      </c>
      <c r="M230" s="54">
        <v>18.61</v>
      </c>
      <c r="N230" s="54">
        <v>18.79</v>
      </c>
      <c r="O230" s="55"/>
      <c r="P230" s="56"/>
      <c r="Q230" s="56"/>
      <c r="R230" s="56"/>
      <c r="S230" s="56"/>
      <c r="T230" s="57"/>
    </row>
    <row r="231" spans="1:20" ht="13.5" customHeight="1" x14ac:dyDescent="0.2">
      <c r="A231" s="53">
        <v>1435</v>
      </c>
      <c r="B231" s="54" t="s">
        <v>291</v>
      </c>
      <c r="C231" s="54">
        <v>12</v>
      </c>
      <c r="D231" s="54">
        <v>17.14</v>
      </c>
      <c r="E231" s="54">
        <v>17.28</v>
      </c>
      <c r="F231" s="54">
        <v>17.36</v>
      </c>
      <c r="G231" s="54">
        <v>17.440000000000001</v>
      </c>
      <c r="H231" s="54">
        <v>17.52</v>
      </c>
      <c r="I231" s="54">
        <v>17.59</v>
      </c>
      <c r="J231" s="54">
        <v>17.670000000000002</v>
      </c>
      <c r="K231" s="54">
        <v>17.75</v>
      </c>
      <c r="L231" s="54">
        <v>17.8</v>
      </c>
      <c r="M231" s="54">
        <v>17.97</v>
      </c>
      <c r="N231" s="54">
        <v>18.14</v>
      </c>
      <c r="O231" s="55"/>
      <c r="P231" s="56"/>
      <c r="Q231" s="56"/>
      <c r="R231" s="56"/>
      <c r="S231" s="56"/>
      <c r="T231" s="57"/>
    </row>
    <row r="232" spans="1:20" ht="13.5" customHeight="1" x14ac:dyDescent="0.2">
      <c r="A232" s="53">
        <v>1436</v>
      </c>
      <c r="B232" s="54" t="s">
        <v>292</v>
      </c>
      <c r="C232" s="54">
        <v>6</v>
      </c>
      <c r="D232" s="54">
        <v>21.46</v>
      </c>
      <c r="E232" s="54">
        <v>21.64</v>
      </c>
      <c r="F232" s="54">
        <v>21.74</v>
      </c>
      <c r="G232" s="54">
        <v>21.83</v>
      </c>
      <c r="H232" s="54">
        <v>21.93</v>
      </c>
      <c r="I232" s="54">
        <v>22.02</v>
      </c>
      <c r="J232" s="54">
        <v>22.13</v>
      </c>
      <c r="K232" s="54">
        <v>22.23</v>
      </c>
      <c r="L232" s="54">
        <v>22.28</v>
      </c>
      <c r="M232" s="54">
        <v>22.49</v>
      </c>
      <c r="N232" s="54">
        <v>22.71</v>
      </c>
      <c r="O232" s="55"/>
      <c r="P232" s="56"/>
      <c r="Q232" s="56"/>
      <c r="R232" s="56"/>
      <c r="S232" s="56"/>
      <c r="T232" s="57"/>
    </row>
    <row r="233" spans="1:20" ht="13.5" customHeight="1" x14ac:dyDescent="0.2">
      <c r="A233" s="53">
        <v>1443</v>
      </c>
      <c r="B233" s="54" t="s">
        <v>293</v>
      </c>
      <c r="C233" s="54">
        <v>6</v>
      </c>
      <c r="D233" s="54">
        <v>7.92</v>
      </c>
      <c r="E233" s="54">
        <v>8</v>
      </c>
      <c r="F233" s="54">
        <v>8.0299999999999994</v>
      </c>
      <c r="G233" s="54">
        <v>8.06</v>
      </c>
      <c r="H233" s="54">
        <v>8.1</v>
      </c>
      <c r="I233" s="54">
        <v>8.14</v>
      </c>
      <c r="J233" s="54">
        <v>8.17</v>
      </c>
      <c r="K233" s="54">
        <v>8.2100000000000009</v>
      </c>
      <c r="L233" s="54">
        <v>8.23</v>
      </c>
      <c r="M233" s="54">
        <v>8.31</v>
      </c>
      <c r="N233" s="54">
        <v>8.3800000000000008</v>
      </c>
      <c r="O233" s="55"/>
      <c r="P233" s="56"/>
      <c r="Q233" s="56"/>
      <c r="R233" s="56"/>
      <c r="S233" s="56"/>
      <c r="T233" s="57"/>
    </row>
    <row r="234" spans="1:20" ht="13.5" customHeight="1" x14ac:dyDescent="0.2">
      <c r="A234" s="53">
        <v>1444</v>
      </c>
      <c r="B234" s="54" t="s">
        <v>294</v>
      </c>
      <c r="C234" s="54">
        <v>10</v>
      </c>
      <c r="D234" s="54">
        <v>8.09</v>
      </c>
      <c r="E234" s="54">
        <v>8.16</v>
      </c>
      <c r="F234" s="54">
        <v>8.1999999999999993</v>
      </c>
      <c r="G234" s="54">
        <v>8.23</v>
      </c>
      <c r="H234" s="54">
        <v>8.26</v>
      </c>
      <c r="I234" s="54">
        <v>8.31</v>
      </c>
      <c r="J234" s="54">
        <v>8.34</v>
      </c>
      <c r="K234" s="54">
        <v>8.3800000000000008</v>
      </c>
      <c r="L234" s="54">
        <v>8.4</v>
      </c>
      <c r="M234" s="54">
        <v>8.48</v>
      </c>
      <c r="N234" s="54">
        <v>8.56</v>
      </c>
      <c r="O234" s="55"/>
      <c r="P234" s="56"/>
      <c r="Q234" s="56"/>
      <c r="R234" s="56"/>
      <c r="S234" s="56"/>
      <c r="T234" s="57"/>
    </row>
    <row r="235" spans="1:20" ht="13.5" customHeight="1" x14ac:dyDescent="0.2">
      <c r="A235" s="53">
        <v>1450</v>
      </c>
      <c r="B235" s="54" t="s">
        <v>295</v>
      </c>
      <c r="C235" s="54">
        <v>12</v>
      </c>
      <c r="D235" s="54">
        <v>4.38</v>
      </c>
      <c r="E235" s="54">
        <v>4.41</v>
      </c>
      <c r="F235" s="54">
        <v>4.43</v>
      </c>
      <c r="G235" s="54">
        <v>4.45</v>
      </c>
      <c r="H235" s="54">
        <v>4.47</v>
      </c>
      <c r="I235" s="54">
        <v>4.49</v>
      </c>
      <c r="J235" s="54">
        <v>4.5</v>
      </c>
      <c r="K235" s="54">
        <v>4.53</v>
      </c>
      <c r="L235" s="54">
        <v>4.54</v>
      </c>
      <c r="M235" s="54">
        <v>4.58</v>
      </c>
      <c r="N235" s="54">
        <v>4.63</v>
      </c>
      <c r="O235" s="55"/>
      <c r="P235" s="56"/>
      <c r="Q235" s="56"/>
      <c r="R235" s="56"/>
      <c r="S235" s="56"/>
      <c r="T235" s="57"/>
    </row>
    <row r="236" spans="1:20" ht="13.5" customHeight="1" x14ac:dyDescent="0.2">
      <c r="A236" s="53">
        <v>1451</v>
      </c>
      <c r="B236" s="54" t="s">
        <v>296</v>
      </c>
      <c r="C236" s="54">
        <v>12</v>
      </c>
      <c r="D236" s="54">
        <v>6.16</v>
      </c>
      <c r="E236" s="54">
        <v>6.21</v>
      </c>
      <c r="F236" s="54">
        <v>6.24</v>
      </c>
      <c r="G236" s="54">
        <v>6.26</v>
      </c>
      <c r="H236" s="54">
        <v>6.29</v>
      </c>
      <c r="I236" s="54">
        <v>6.32</v>
      </c>
      <c r="J236" s="54">
        <v>6.35</v>
      </c>
      <c r="K236" s="54">
        <v>6.38</v>
      </c>
      <c r="L236" s="54">
        <v>6.39</v>
      </c>
      <c r="M236" s="54">
        <v>6.45</v>
      </c>
      <c r="N236" s="54">
        <v>6.52</v>
      </c>
      <c r="O236" s="55"/>
      <c r="P236" s="56"/>
      <c r="Q236" s="56"/>
      <c r="R236" s="56"/>
      <c r="S236" s="56"/>
      <c r="T236" s="57"/>
    </row>
    <row r="237" spans="1:20" ht="13.5" customHeight="1" x14ac:dyDescent="0.2">
      <c r="A237" s="53">
        <v>1452</v>
      </c>
      <c r="B237" s="54" t="s">
        <v>297</v>
      </c>
      <c r="C237" s="54">
        <v>12</v>
      </c>
      <c r="D237" s="54">
        <v>8.6300000000000008</v>
      </c>
      <c r="E237" s="54">
        <v>8.6999999999999993</v>
      </c>
      <c r="F237" s="54">
        <v>8.73</v>
      </c>
      <c r="G237" s="54">
        <v>8.7799999999999994</v>
      </c>
      <c r="H237" s="54">
        <v>8.82</v>
      </c>
      <c r="I237" s="54">
        <v>8.85</v>
      </c>
      <c r="J237" s="54">
        <v>8.89</v>
      </c>
      <c r="K237" s="54">
        <v>8.94</v>
      </c>
      <c r="L237" s="54">
        <v>8.9600000000000009</v>
      </c>
      <c r="M237" s="54">
        <v>9.0399999999999991</v>
      </c>
      <c r="N237" s="54">
        <v>9.1300000000000008</v>
      </c>
      <c r="O237" s="55"/>
      <c r="P237" s="56"/>
      <c r="Q237" s="56"/>
      <c r="R237" s="56"/>
      <c r="S237" s="56"/>
      <c r="T237" s="57"/>
    </row>
    <row r="238" spans="1:20" ht="13.5" customHeight="1" x14ac:dyDescent="0.2">
      <c r="A238" s="53">
        <v>1453</v>
      </c>
      <c r="B238" s="54" t="s">
        <v>298</v>
      </c>
      <c r="C238" s="54">
        <v>6</v>
      </c>
      <c r="D238" s="54">
        <v>13.42</v>
      </c>
      <c r="E238" s="54">
        <v>13.54</v>
      </c>
      <c r="F238" s="54">
        <v>13.6</v>
      </c>
      <c r="G238" s="54">
        <v>13.66</v>
      </c>
      <c r="H238" s="54">
        <v>13.72</v>
      </c>
      <c r="I238" s="54">
        <v>13.78</v>
      </c>
      <c r="J238" s="54">
        <v>13.85</v>
      </c>
      <c r="K238" s="54">
        <v>13.9</v>
      </c>
      <c r="L238" s="54">
        <v>13.94</v>
      </c>
      <c r="M238" s="54">
        <v>14.07</v>
      </c>
      <c r="N238" s="54">
        <v>14.2</v>
      </c>
      <c r="O238" s="55"/>
      <c r="P238" s="56"/>
      <c r="Q238" s="56"/>
      <c r="R238" s="56"/>
      <c r="S238" s="56"/>
      <c r="T238" s="57"/>
    </row>
    <row r="239" spans="1:20" ht="13.5" customHeight="1" x14ac:dyDescent="0.2">
      <c r="A239" s="53">
        <v>1454</v>
      </c>
      <c r="B239" s="54" t="s">
        <v>299</v>
      </c>
      <c r="C239" s="54">
        <v>12</v>
      </c>
      <c r="D239" s="54">
        <v>20.43</v>
      </c>
      <c r="E239" s="54">
        <v>20.61</v>
      </c>
      <c r="F239" s="54">
        <v>20.7</v>
      </c>
      <c r="G239" s="54">
        <v>20.79</v>
      </c>
      <c r="H239" s="54">
        <v>20.88</v>
      </c>
      <c r="I239" s="54">
        <v>20.97</v>
      </c>
      <c r="J239" s="54">
        <v>21.07</v>
      </c>
      <c r="K239" s="54">
        <v>21.16</v>
      </c>
      <c r="L239" s="54">
        <v>21.21</v>
      </c>
      <c r="M239" s="54">
        <v>21.41</v>
      </c>
      <c r="N239" s="54">
        <v>21.62</v>
      </c>
      <c r="O239" s="55"/>
      <c r="P239" s="56"/>
      <c r="Q239" s="56"/>
      <c r="R239" s="56"/>
      <c r="S239" s="56"/>
      <c r="T239" s="57"/>
    </row>
    <row r="240" spans="1:20" ht="13.5" customHeight="1" x14ac:dyDescent="0.2">
      <c r="A240" s="53">
        <v>1455</v>
      </c>
      <c r="B240" s="54" t="s">
        <v>300</v>
      </c>
      <c r="C240" s="54">
        <v>6</v>
      </c>
      <c r="D240" s="54">
        <v>14.4</v>
      </c>
      <c r="E240" s="54">
        <v>14.53</v>
      </c>
      <c r="F240" s="54">
        <v>14.59</v>
      </c>
      <c r="G240" s="54">
        <v>14.65</v>
      </c>
      <c r="H240" s="54">
        <v>14.72</v>
      </c>
      <c r="I240" s="54">
        <v>14.78</v>
      </c>
      <c r="J240" s="54">
        <v>14.85</v>
      </c>
      <c r="K240" s="54">
        <v>14.91</v>
      </c>
      <c r="L240" s="54">
        <v>14.95</v>
      </c>
      <c r="M240" s="54">
        <v>15.09</v>
      </c>
      <c r="N240" s="54">
        <v>15.23</v>
      </c>
      <c r="O240" s="55"/>
      <c r="P240" s="56"/>
      <c r="Q240" s="56"/>
      <c r="R240" s="56"/>
      <c r="S240" s="56"/>
      <c r="T240" s="57"/>
    </row>
    <row r="241" spans="1:20" ht="13.5" customHeight="1" x14ac:dyDescent="0.2">
      <c r="A241" s="53" t="s">
        <v>301</v>
      </c>
      <c r="B241" s="54" t="s">
        <v>302</v>
      </c>
      <c r="C241" s="54">
        <v>18</v>
      </c>
      <c r="D241" s="54">
        <v>4.5199999999999996</v>
      </c>
      <c r="E241" s="54">
        <v>4.55</v>
      </c>
      <c r="F241" s="54">
        <v>4.57</v>
      </c>
      <c r="G241" s="54">
        <v>4.59</v>
      </c>
      <c r="H241" s="54">
        <v>4.6100000000000003</v>
      </c>
      <c r="I241" s="54">
        <v>4.63</v>
      </c>
      <c r="J241" s="54">
        <v>4.6500000000000004</v>
      </c>
      <c r="K241" s="54">
        <v>4.68</v>
      </c>
      <c r="L241" s="54">
        <v>4.6900000000000004</v>
      </c>
      <c r="M241" s="54">
        <v>4.7300000000000004</v>
      </c>
      <c r="N241" s="54">
        <v>4.7699999999999996</v>
      </c>
      <c r="O241" s="55"/>
      <c r="P241" s="56"/>
      <c r="Q241" s="56"/>
      <c r="R241" s="56"/>
      <c r="S241" s="56"/>
      <c r="T241" s="57"/>
    </row>
    <row r="242" spans="1:20" ht="13.5" customHeight="1" x14ac:dyDescent="0.2">
      <c r="A242" s="53">
        <v>1462</v>
      </c>
      <c r="B242" s="54" t="s">
        <v>303</v>
      </c>
      <c r="C242" s="54">
        <v>20</v>
      </c>
      <c r="D242" s="54">
        <v>4.0999999999999996</v>
      </c>
      <c r="E242" s="54">
        <v>4.13</v>
      </c>
      <c r="F242" s="54">
        <v>4.1500000000000004</v>
      </c>
      <c r="G242" s="54">
        <v>4.17</v>
      </c>
      <c r="H242" s="54">
        <v>4.1900000000000004</v>
      </c>
      <c r="I242" s="54">
        <v>4.21</v>
      </c>
      <c r="J242" s="54">
        <v>4.2300000000000004</v>
      </c>
      <c r="K242" s="54">
        <v>4.25</v>
      </c>
      <c r="L242" s="54">
        <v>4.26</v>
      </c>
      <c r="M242" s="54">
        <v>4.29</v>
      </c>
      <c r="N242" s="54">
        <v>4.33</v>
      </c>
      <c r="O242" s="55"/>
      <c r="P242" s="56"/>
      <c r="Q242" s="56"/>
      <c r="R242" s="56"/>
      <c r="S242" s="56"/>
      <c r="T242" s="57"/>
    </row>
    <row r="243" spans="1:20" ht="13.5" customHeight="1" x14ac:dyDescent="0.2">
      <c r="A243" s="53" t="s">
        <v>304</v>
      </c>
      <c r="B243" s="54" t="s">
        <v>305</v>
      </c>
      <c r="C243" s="54">
        <v>20</v>
      </c>
      <c r="D243" s="54">
        <v>6.16</v>
      </c>
      <c r="E243" s="54">
        <v>6.21</v>
      </c>
      <c r="F243" s="54">
        <v>6.24</v>
      </c>
      <c r="G243" s="54">
        <v>6.26</v>
      </c>
      <c r="H243" s="54">
        <v>6.29</v>
      </c>
      <c r="I243" s="54">
        <v>6.32</v>
      </c>
      <c r="J243" s="54">
        <v>6.35</v>
      </c>
      <c r="K243" s="54">
        <v>6.38</v>
      </c>
      <c r="L243" s="54">
        <v>6.39</v>
      </c>
      <c r="M243" s="54">
        <v>6.45</v>
      </c>
      <c r="N243" s="54">
        <v>6.52</v>
      </c>
      <c r="O243" s="55"/>
      <c r="P243" s="56"/>
      <c r="Q243" s="56"/>
      <c r="R243" s="56"/>
      <c r="S243" s="56"/>
      <c r="T243" s="57"/>
    </row>
    <row r="244" spans="1:20" ht="13.5" customHeight="1" x14ac:dyDescent="0.2">
      <c r="A244" s="53">
        <v>1464</v>
      </c>
      <c r="B244" s="54" t="s">
        <v>306</v>
      </c>
      <c r="C244" s="54">
        <v>6</v>
      </c>
      <c r="D244" s="54">
        <v>21.8</v>
      </c>
      <c r="E244" s="54">
        <v>21.99</v>
      </c>
      <c r="F244" s="54">
        <v>22.09</v>
      </c>
      <c r="G244" s="54">
        <v>22.18</v>
      </c>
      <c r="H244" s="54">
        <v>22.28</v>
      </c>
      <c r="I244" s="54">
        <v>22.38</v>
      </c>
      <c r="J244" s="54">
        <v>22.48</v>
      </c>
      <c r="K244" s="54">
        <v>22.58</v>
      </c>
      <c r="L244" s="54">
        <v>22.63</v>
      </c>
      <c r="M244" s="54">
        <v>22.84</v>
      </c>
      <c r="N244" s="54">
        <v>23.07</v>
      </c>
      <c r="O244" s="55"/>
      <c r="P244" s="56"/>
      <c r="Q244" s="56"/>
      <c r="R244" s="56"/>
      <c r="S244" s="56"/>
      <c r="T244" s="57"/>
    </row>
    <row r="245" spans="1:20" ht="13.5" customHeight="1" x14ac:dyDescent="0.2">
      <c r="A245" s="53">
        <v>1465</v>
      </c>
      <c r="B245" s="54" t="s">
        <v>307</v>
      </c>
      <c r="C245" s="54">
        <v>12</v>
      </c>
      <c r="D245" s="54">
        <v>3.45</v>
      </c>
      <c r="E245" s="54">
        <v>3.48</v>
      </c>
      <c r="F245" s="54">
        <v>3.5</v>
      </c>
      <c r="G245" s="54">
        <v>3.51</v>
      </c>
      <c r="H245" s="54">
        <v>3.54</v>
      </c>
      <c r="I245" s="54">
        <v>3.55</v>
      </c>
      <c r="J245" s="54">
        <v>3.57</v>
      </c>
      <c r="K245" s="54">
        <v>3.58</v>
      </c>
      <c r="L245" s="54">
        <v>3.59</v>
      </c>
      <c r="M245" s="54">
        <v>3.62</v>
      </c>
      <c r="N245" s="54">
        <v>3.65</v>
      </c>
      <c r="O245" s="55"/>
      <c r="P245" s="56"/>
      <c r="Q245" s="56"/>
      <c r="R245" s="56"/>
      <c r="S245" s="56"/>
      <c r="T245" s="57"/>
    </row>
    <row r="246" spans="1:20" ht="13.5" customHeight="1" x14ac:dyDescent="0.2">
      <c r="A246" s="53">
        <v>1466</v>
      </c>
      <c r="B246" s="54" t="s">
        <v>308</v>
      </c>
      <c r="C246" s="54">
        <v>12</v>
      </c>
      <c r="D246" s="54">
        <v>2.71</v>
      </c>
      <c r="E246" s="54">
        <v>2.73</v>
      </c>
      <c r="F246" s="54">
        <v>2.74</v>
      </c>
      <c r="G246" s="54">
        <v>2.75</v>
      </c>
      <c r="H246" s="54">
        <v>2.76</v>
      </c>
      <c r="I246" s="54">
        <v>2.77</v>
      </c>
      <c r="J246" s="54">
        <v>2.79</v>
      </c>
      <c r="K246" s="54">
        <v>2.8</v>
      </c>
      <c r="L246" s="54">
        <v>2.8</v>
      </c>
      <c r="M246" s="54">
        <v>2.83</v>
      </c>
      <c r="N246" s="54">
        <v>2.85</v>
      </c>
      <c r="O246" s="55"/>
      <c r="P246" s="56"/>
      <c r="Q246" s="56"/>
      <c r="R246" s="56"/>
      <c r="S246" s="56"/>
      <c r="T246" s="57"/>
    </row>
    <row r="247" spans="1:20" ht="13.5" customHeight="1" x14ac:dyDescent="0.2">
      <c r="A247" s="53">
        <v>1467</v>
      </c>
      <c r="B247" s="54" t="s">
        <v>309</v>
      </c>
      <c r="C247" s="54">
        <v>12</v>
      </c>
      <c r="D247" s="54">
        <v>13.57</v>
      </c>
      <c r="E247" s="54">
        <v>13.7</v>
      </c>
      <c r="F247" s="54">
        <v>13.75</v>
      </c>
      <c r="G247" s="54">
        <v>13.81</v>
      </c>
      <c r="H247" s="54">
        <v>13.88</v>
      </c>
      <c r="I247" s="54">
        <v>13.93</v>
      </c>
      <c r="J247" s="54">
        <v>13.99</v>
      </c>
      <c r="K247" s="54">
        <v>14.06</v>
      </c>
      <c r="L247" s="54">
        <v>14.09</v>
      </c>
      <c r="M247" s="54">
        <v>14.23</v>
      </c>
      <c r="N247" s="54">
        <v>14.36</v>
      </c>
      <c r="O247" s="55"/>
      <c r="P247" s="56"/>
      <c r="Q247" s="56"/>
      <c r="R247" s="56"/>
      <c r="S247" s="56"/>
      <c r="T247" s="57"/>
    </row>
    <row r="248" spans="1:20" ht="13.5" customHeight="1" x14ac:dyDescent="0.2">
      <c r="A248" s="53">
        <v>1481</v>
      </c>
      <c r="B248" s="54" t="s">
        <v>310</v>
      </c>
      <c r="C248" s="54">
        <v>6</v>
      </c>
      <c r="D248" s="54">
        <v>39.619999999999997</v>
      </c>
      <c r="E248" s="54">
        <v>39.97</v>
      </c>
      <c r="F248" s="54">
        <v>40.15</v>
      </c>
      <c r="G248" s="54">
        <v>40.32</v>
      </c>
      <c r="H248" s="54">
        <v>40.5</v>
      </c>
      <c r="I248" s="54">
        <v>40.68</v>
      </c>
      <c r="J248" s="54">
        <v>40.85</v>
      </c>
      <c r="K248" s="54">
        <v>41.03</v>
      </c>
      <c r="L248" s="54">
        <v>41.14</v>
      </c>
      <c r="M248" s="54">
        <v>41.54</v>
      </c>
      <c r="N248" s="54">
        <v>41.92</v>
      </c>
      <c r="O248" s="55"/>
      <c r="P248" s="56"/>
      <c r="Q248" s="56"/>
      <c r="R248" s="56"/>
      <c r="S248" s="56"/>
      <c r="T248" s="57"/>
    </row>
    <row r="249" spans="1:20" ht="13.5" customHeight="1" x14ac:dyDescent="0.2">
      <c r="A249" s="53" t="s">
        <v>311</v>
      </c>
      <c r="B249" s="54" t="s">
        <v>310</v>
      </c>
      <c r="C249" s="54">
        <v>6</v>
      </c>
      <c r="D249" s="54">
        <v>30.02</v>
      </c>
      <c r="E249" s="54">
        <v>30.29</v>
      </c>
      <c r="F249" s="54">
        <v>30.43</v>
      </c>
      <c r="G249" s="54">
        <v>30.55</v>
      </c>
      <c r="H249" s="54">
        <v>30.69</v>
      </c>
      <c r="I249" s="54">
        <v>30.82</v>
      </c>
      <c r="J249" s="54">
        <v>30.96</v>
      </c>
      <c r="K249" s="54">
        <v>31.1</v>
      </c>
      <c r="L249" s="54">
        <v>31.17</v>
      </c>
      <c r="M249" s="54">
        <v>31.47</v>
      </c>
      <c r="N249" s="54">
        <v>31.77</v>
      </c>
      <c r="O249" s="55"/>
      <c r="P249" s="56"/>
      <c r="Q249" s="56"/>
      <c r="R249" s="56"/>
      <c r="S249" s="56"/>
      <c r="T249" s="57"/>
    </row>
    <row r="250" spans="1:20" ht="13.5" customHeight="1" x14ac:dyDescent="0.2">
      <c r="A250" s="53">
        <v>1482</v>
      </c>
      <c r="B250" s="54" t="s">
        <v>223</v>
      </c>
      <c r="C250" s="54">
        <v>6</v>
      </c>
      <c r="D250" s="54">
        <v>61.56</v>
      </c>
      <c r="E250" s="54">
        <v>62.1</v>
      </c>
      <c r="F250" s="54">
        <v>62.38</v>
      </c>
      <c r="G250" s="54">
        <v>62.64</v>
      </c>
      <c r="H250" s="54">
        <v>62.92</v>
      </c>
      <c r="I250" s="54">
        <v>63.2</v>
      </c>
      <c r="J250" s="54">
        <v>63.47</v>
      </c>
      <c r="K250" s="54">
        <v>63.76</v>
      </c>
      <c r="L250" s="54">
        <v>63.92</v>
      </c>
      <c r="M250" s="54">
        <v>64.52</v>
      </c>
      <c r="N250" s="54">
        <v>65.14</v>
      </c>
      <c r="O250" s="55"/>
      <c r="P250" s="56"/>
      <c r="Q250" s="56"/>
      <c r="R250" s="56"/>
      <c r="S250" s="56"/>
      <c r="T250" s="57"/>
    </row>
    <row r="251" spans="1:20" ht="13.5" customHeight="1" x14ac:dyDescent="0.2">
      <c r="A251" s="53">
        <v>1484</v>
      </c>
      <c r="B251" s="54" t="s">
        <v>312</v>
      </c>
      <c r="C251" s="54">
        <v>12</v>
      </c>
      <c r="D251" s="54">
        <v>12.86</v>
      </c>
      <c r="E251" s="54">
        <v>12.97</v>
      </c>
      <c r="F251" s="54">
        <v>13.03</v>
      </c>
      <c r="G251" s="54">
        <v>13.09</v>
      </c>
      <c r="H251" s="54">
        <v>13.15</v>
      </c>
      <c r="I251" s="54">
        <v>13.2</v>
      </c>
      <c r="J251" s="54">
        <v>13.26</v>
      </c>
      <c r="K251" s="54">
        <v>13.32</v>
      </c>
      <c r="L251" s="54">
        <v>13.35</v>
      </c>
      <c r="M251" s="54">
        <v>13.48</v>
      </c>
      <c r="N251" s="54">
        <v>13.61</v>
      </c>
      <c r="O251" s="55"/>
      <c r="P251" s="56"/>
      <c r="Q251" s="56"/>
      <c r="R251" s="56"/>
      <c r="S251" s="56"/>
      <c r="T251" s="57"/>
    </row>
    <row r="252" spans="1:20" ht="13.5" customHeight="1" x14ac:dyDescent="0.2">
      <c r="A252" s="53">
        <v>1485</v>
      </c>
      <c r="B252" s="54" t="s">
        <v>313</v>
      </c>
      <c r="C252" s="54">
        <v>12</v>
      </c>
      <c r="D252" s="54">
        <v>10.93</v>
      </c>
      <c r="E252" s="54">
        <v>11.02</v>
      </c>
      <c r="F252" s="54">
        <v>11.08</v>
      </c>
      <c r="G252" s="54">
        <v>11.12</v>
      </c>
      <c r="H252" s="54">
        <v>11.17</v>
      </c>
      <c r="I252" s="54">
        <v>11.21</v>
      </c>
      <c r="J252" s="54">
        <v>11.27</v>
      </c>
      <c r="K252" s="54">
        <v>11.32</v>
      </c>
      <c r="L252" s="54">
        <v>11.34</v>
      </c>
      <c r="M252" s="54">
        <v>11.45</v>
      </c>
      <c r="N252" s="54">
        <v>11.57</v>
      </c>
      <c r="O252" s="55"/>
      <c r="P252" s="56"/>
      <c r="Q252" s="56"/>
      <c r="R252" s="56"/>
      <c r="S252" s="56"/>
      <c r="T252" s="57"/>
    </row>
    <row r="253" spans="1:20" ht="13.5" customHeight="1" x14ac:dyDescent="0.2">
      <c r="A253" s="53">
        <v>1487</v>
      </c>
      <c r="B253" s="54" t="s">
        <v>314</v>
      </c>
      <c r="C253" s="54">
        <v>12</v>
      </c>
      <c r="D253" s="54">
        <v>9.4600000000000009</v>
      </c>
      <c r="E253" s="54">
        <v>9.5399999999999991</v>
      </c>
      <c r="F253" s="54">
        <v>9.59</v>
      </c>
      <c r="G253" s="54">
        <v>9.6300000000000008</v>
      </c>
      <c r="H253" s="54">
        <v>9.67</v>
      </c>
      <c r="I253" s="54">
        <v>9.7100000000000009</v>
      </c>
      <c r="J253" s="54">
        <v>9.76</v>
      </c>
      <c r="K253" s="54">
        <v>9.8000000000000007</v>
      </c>
      <c r="L253" s="54">
        <v>9.82</v>
      </c>
      <c r="M253" s="54">
        <v>9.92</v>
      </c>
      <c r="N253" s="54">
        <v>10.01</v>
      </c>
      <c r="O253" s="55"/>
      <c r="P253" s="56"/>
      <c r="Q253" s="56"/>
      <c r="R253" s="56"/>
      <c r="S253" s="56"/>
      <c r="T253" s="57"/>
    </row>
    <row r="254" spans="1:20" ht="13.5" customHeight="1" x14ac:dyDescent="0.2">
      <c r="A254" s="53">
        <v>1488</v>
      </c>
      <c r="B254" s="54" t="s">
        <v>315</v>
      </c>
      <c r="C254" s="54">
        <v>4</v>
      </c>
      <c r="D254" s="54">
        <v>13.57</v>
      </c>
      <c r="E254" s="54">
        <v>13.7</v>
      </c>
      <c r="F254" s="54">
        <v>13.75</v>
      </c>
      <c r="G254" s="54">
        <v>13.81</v>
      </c>
      <c r="H254" s="54">
        <v>13.88</v>
      </c>
      <c r="I254" s="54">
        <v>13.93</v>
      </c>
      <c r="J254" s="54">
        <v>13.99</v>
      </c>
      <c r="K254" s="54">
        <v>14.06</v>
      </c>
      <c r="L254" s="54">
        <v>14.09</v>
      </c>
      <c r="M254" s="54">
        <v>14.23</v>
      </c>
      <c r="N254" s="54">
        <v>14.36</v>
      </c>
      <c r="O254" s="55"/>
      <c r="P254" s="56"/>
      <c r="Q254" s="56"/>
      <c r="R254" s="56"/>
      <c r="S254" s="56"/>
      <c r="T254" s="57"/>
    </row>
    <row r="255" spans="1:20" ht="13.5" customHeight="1" x14ac:dyDescent="0.2">
      <c r="A255" s="53">
        <v>1489</v>
      </c>
      <c r="B255" s="54" t="s">
        <v>316</v>
      </c>
      <c r="C255" s="54">
        <v>6</v>
      </c>
      <c r="D255" s="54">
        <v>5.0199999999999996</v>
      </c>
      <c r="E255" s="54">
        <v>5.0599999999999996</v>
      </c>
      <c r="F255" s="54">
        <v>5.09</v>
      </c>
      <c r="G255" s="54">
        <v>5.1100000000000003</v>
      </c>
      <c r="H255" s="54">
        <v>5.13</v>
      </c>
      <c r="I255" s="54">
        <v>5.15</v>
      </c>
      <c r="J255" s="54">
        <v>5.18</v>
      </c>
      <c r="K255" s="54">
        <v>5.2</v>
      </c>
      <c r="L255" s="54">
        <v>5.21</v>
      </c>
      <c r="M255" s="54">
        <v>5.26</v>
      </c>
      <c r="N255" s="54">
        <v>5.31</v>
      </c>
      <c r="O255" s="55"/>
      <c r="P255" s="56"/>
      <c r="Q255" s="56"/>
      <c r="R255" s="56"/>
      <c r="S255" s="56"/>
      <c r="T255" s="57"/>
    </row>
    <row r="256" spans="1:20" ht="13.5" customHeight="1" x14ac:dyDescent="0.2">
      <c r="A256" s="53">
        <v>1505</v>
      </c>
      <c r="B256" s="54" t="s">
        <v>317</v>
      </c>
      <c r="C256" s="54">
        <v>12</v>
      </c>
      <c r="D256" s="54">
        <v>12.02</v>
      </c>
      <c r="E256" s="54">
        <v>12.13</v>
      </c>
      <c r="F256" s="54">
        <v>12.18</v>
      </c>
      <c r="G256" s="54">
        <v>12.24</v>
      </c>
      <c r="H256" s="54">
        <v>12.29</v>
      </c>
      <c r="I256" s="54">
        <v>12.34</v>
      </c>
      <c r="J256" s="54">
        <v>12.4</v>
      </c>
      <c r="K256" s="54">
        <v>12.45</v>
      </c>
      <c r="L256" s="54">
        <v>12.48</v>
      </c>
      <c r="M256" s="54">
        <v>12.6</v>
      </c>
      <c r="N256" s="54">
        <v>12.73</v>
      </c>
      <c r="O256" s="55"/>
      <c r="P256" s="56"/>
      <c r="Q256" s="56"/>
      <c r="R256" s="56"/>
      <c r="S256" s="56"/>
      <c r="T256" s="57"/>
    </row>
    <row r="257" spans="1:20" ht="13.5" customHeight="1" x14ac:dyDescent="0.2">
      <c r="A257" s="53">
        <v>1506</v>
      </c>
      <c r="B257" s="54" t="s">
        <v>318</v>
      </c>
      <c r="C257" s="54">
        <v>12</v>
      </c>
      <c r="D257" s="54">
        <v>20.43</v>
      </c>
      <c r="E257" s="54">
        <v>20.61</v>
      </c>
      <c r="F257" s="54">
        <v>20.7</v>
      </c>
      <c r="G257" s="54">
        <v>20.79</v>
      </c>
      <c r="H257" s="54">
        <v>20.88</v>
      </c>
      <c r="I257" s="54">
        <v>20.97</v>
      </c>
      <c r="J257" s="54">
        <v>21.07</v>
      </c>
      <c r="K257" s="54">
        <v>21.16</v>
      </c>
      <c r="L257" s="54">
        <v>21.21</v>
      </c>
      <c r="M257" s="54">
        <v>21.41</v>
      </c>
      <c r="N257" s="54">
        <v>21.62</v>
      </c>
      <c r="O257" s="55"/>
      <c r="P257" s="56"/>
      <c r="Q257" s="56"/>
      <c r="R257" s="56"/>
      <c r="S257" s="56"/>
      <c r="T257" s="57"/>
    </row>
    <row r="258" spans="1:20" ht="13.5" customHeight="1" x14ac:dyDescent="0.2">
      <c r="A258" s="53">
        <v>1508</v>
      </c>
      <c r="B258" s="54" t="s">
        <v>319</v>
      </c>
      <c r="C258" s="54">
        <v>12</v>
      </c>
      <c r="D258" s="54">
        <v>23.17</v>
      </c>
      <c r="E258" s="54">
        <v>23.38</v>
      </c>
      <c r="F258" s="54">
        <v>23.47</v>
      </c>
      <c r="G258" s="54">
        <v>23.58</v>
      </c>
      <c r="H258" s="54">
        <v>23.69</v>
      </c>
      <c r="I258" s="54">
        <v>23.79</v>
      </c>
      <c r="J258" s="54">
        <v>23.89</v>
      </c>
      <c r="K258" s="54">
        <v>23.99</v>
      </c>
      <c r="L258" s="54">
        <v>24.06</v>
      </c>
      <c r="M258" s="54">
        <v>24.28</v>
      </c>
      <c r="N258" s="54">
        <v>24.52</v>
      </c>
      <c r="O258" s="55"/>
      <c r="P258" s="56"/>
      <c r="Q258" s="56"/>
      <c r="R258" s="56"/>
      <c r="S258" s="56"/>
      <c r="T258" s="57"/>
    </row>
    <row r="259" spans="1:20" ht="13.5" customHeight="1" x14ac:dyDescent="0.2">
      <c r="A259" s="53">
        <v>1509</v>
      </c>
      <c r="B259" s="54" t="s">
        <v>320</v>
      </c>
      <c r="C259" s="54">
        <v>12</v>
      </c>
      <c r="D259" s="54">
        <v>10.5</v>
      </c>
      <c r="E259" s="54">
        <v>10.6</v>
      </c>
      <c r="F259" s="54">
        <v>10.64</v>
      </c>
      <c r="G259" s="54">
        <v>10.69</v>
      </c>
      <c r="H259" s="54">
        <v>10.74</v>
      </c>
      <c r="I259" s="54">
        <v>10.78</v>
      </c>
      <c r="J259" s="54">
        <v>10.83</v>
      </c>
      <c r="K259" s="54">
        <v>10.87</v>
      </c>
      <c r="L259" s="54">
        <v>10.91</v>
      </c>
      <c r="M259" s="54">
        <v>11.01</v>
      </c>
      <c r="N259" s="54">
        <v>11.11</v>
      </c>
      <c r="O259" s="55"/>
      <c r="P259" s="56"/>
      <c r="Q259" s="56"/>
      <c r="R259" s="56"/>
      <c r="S259" s="56"/>
      <c r="T259" s="57"/>
    </row>
    <row r="260" spans="1:20" ht="13.5" customHeight="1" x14ac:dyDescent="0.2">
      <c r="A260" s="53">
        <v>1510</v>
      </c>
      <c r="B260" s="54" t="s">
        <v>321</v>
      </c>
      <c r="C260" s="54">
        <v>10</v>
      </c>
      <c r="D260" s="54">
        <v>10.93</v>
      </c>
      <c r="E260" s="54">
        <v>11.02</v>
      </c>
      <c r="F260" s="54">
        <v>11.08</v>
      </c>
      <c r="G260" s="54">
        <v>11.12</v>
      </c>
      <c r="H260" s="54">
        <v>11.17</v>
      </c>
      <c r="I260" s="54">
        <v>11.21</v>
      </c>
      <c r="J260" s="54">
        <v>11.27</v>
      </c>
      <c r="K260" s="54">
        <v>11.32</v>
      </c>
      <c r="L260" s="54">
        <v>11.34</v>
      </c>
      <c r="M260" s="54">
        <v>11.45</v>
      </c>
      <c r="N260" s="54">
        <v>11.57</v>
      </c>
      <c r="O260" s="55"/>
      <c r="P260" s="56"/>
      <c r="Q260" s="56"/>
      <c r="R260" s="56"/>
      <c r="S260" s="56"/>
      <c r="T260" s="57"/>
    </row>
    <row r="261" spans="1:20" ht="13.5" customHeight="1" x14ac:dyDescent="0.2">
      <c r="A261" s="53">
        <v>1520</v>
      </c>
      <c r="B261" s="54" t="s">
        <v>322</v>
      </c>
      <c r="C261" s="54">
        <v>24</v>
      </c>
      <c r="D261" s="54">
        <v>19.05</v>
      </c>
      <c r="E261" s="54">
        <v>19.22</v>
      </c>
      <c r="F261" s="54">
        <v>19.309999999999999</v>
      </c>
      <c r="G261" s="54">
        <v>19.39</v>
      </c>
      <c r="H261" s="54">
        <v>19.48</v>
      </c>
      <c r="I261" s="54">
        <v>19.559999999999999</v>
      </c>
      <c r="J261" s="54">
        <v>19.649999999999999</v>
      </c>
      <c r="K261" s="54">
        <v>19.73</v>
      </c>
      <c r="L261" s="54">
        <v>19.79</v>
      </c>
      <c r="M261" s="54">
        <v>19.98</v>
      </c>
      <c r="N261" s="54">
        <v>20.16</v>
      </c>
      <c r="O261" s="55"/>
      <c r="P261" s="56"/>
      <c r="Q261" s="56"/>
      <c r="R261" s="56"/>
      <c r="S261" s="56"/>
      <c r="T261" s="57"/>
    </row>
    <row r="262" spans="1:20" ht="13.5" customHeight="1" x14ac:dyDescent="0.2">
      <c r="A262" s="53">
        <v>1529</v>
      </c>
      <c r="B262" s="54" t="s">
        <v>323</v>
      </c>
      <c r="C262" s="54">
        <v>12</v>
      </c>
      <c r="D262" s="54">
        <v>9.93</v>
      </c>
      <c r="E262" s="54">
        <v>10.01</v>
      </c>
      <c r="F262" s="54">
        <v>10.06</v>
      </c>
      <c r="G262" s="54">
        <v>10.1</v>
      </c>
      <c r="H262" s="54">
        <v>10.15</v>
      </c>
      <c r="I262" s="54">
        <v>10.19</v>
      </c>
      <c r="J262" s="54">
        <v>10.23</v>
      </c>
      <c r="K262" s="54">
        <v>10.28</v>
      </c>
      <c r="L262" s="54">
        <v>10.31</v>
      </c>
      <c r="M262" s="54">
        <v>10.4</v>
      </c>
      <c r="N262" s="54">
        <v>10.5</v>
      </c>
      <c r="O262" s="55"/>
      <c r="P262" s="56"/>
      <c r="Q262" s="56"/>
      <c r="R262" s="56"/>
      <c r="S262" s="56"/>
      <c r="T262" s="57"/>
    </row>
    <row r="263" spans="1:20" ht="13.5" customHeight="1" x14ac:dyDescent="0.2">
      <c r="A263" s="53">
        <v>1530</v>
      </c>
      <c r="B263" s="54" t="s">
        <v>324</v>
      </c>
      <c r="C263" s="54">
        <v>12</v>
      </c>
      <c r="D263" s="54">
        <v>15.07</v>
      </c>
      <c r="E263" s="54">
        <v>15.2</v>
      </c>
      <c r="F263" s="54">
        <v>15.27</v>
      </c>
      <c r="G263" s="54">
        <v>15.34</v>
      </c>
      <c r="H263" s="54">
        <v>15.4</v>
      </c>
      <c r="I263" s="54">
        <v>15.47</v>
      </c>
      <c r="J263" s="54">
        <v>15.54</v>
      </c>
      <c r="K263" s="54">
        <v>15.6</v>
      </c>
      <c r="L263" s="54">
        <v>15.64</v>
      </c>
      <c r="M263" s="54">
        <v>15.79</v>
      </c>
      <c r="N263" s="54">
        <v>15.94</v>
      </c>
      <c r="O263" s="55"/>
      <c r="P263" s="56"/>
      <c r="Q263" s="56"/>
      <c r="R263" s="56"/>
      <c r="S263" s="56"/>
      <c r="T263" s="57"/>
    </row>
    <row r="264" spans="1:20" ht="13.5" customHeight="1" x14ac:dyDescent="0.2">
      <c r="A264" s="53">
        <v>1531</v>
      </c>
      <c r="B264" s="54" t="s">
        <v>325</v>
      </c>
      <c r="C264" s="54">
        <v>12</v>
      </c>
      <c r="D264" s="54">
        <v>8.98</v>
      </c>
      <c r="E264" s="54">
        <v>9.06</v>
      </c>
      <c r="F264" s="54">
        <v>9.1</v>
      </c>
      <c r="G264" s="54">
        <v>9.14</v>
      </c>
      <c r="H264" s="54">
        <v>9.18</v>
      </c>
      <c r="I264" s="54">
        <v>9.2200000000000006</v>
      </c>
      <c r="J264" s="54">
        <v>9.27</v>
      </c>
      <c r="K264" s="54">
        <v>9.3000000000000007</v>
      </c>
      <c r="L264" s="54">
        <v>9.33</v>
      </c>
      <c r="M264" s="54">
        <v>9.41</v>
      </c>
      <c r="N264" s="54">
        <v>9.5</v>
      </c>
      <c r="O264" s="55"/>
      <c r="P264" s="56"/>
      <c r="Q264" s="56"/>
      <c r="R264" s="56"/>
      <c r="S264" s="56"/>
      <c r="T264" s="57"/>
    </row>
    <row r="265" spans="1:20" ht="13.5" customHeight="1" x14ac:dyDescent="0.2">
      <c r="A265" s="53" t="s">
        <v>326</v>
      </c>
      <c r="B265" s="54" t="s">
        <v>327</v>
      </c>
      <c r="C265" s="54">
        <v>1</v>
      </c>
      <c r="D265" s="54">
        <v>1096.78</v>
      </c>
      <c r="E265" s="54">
        <v>1106.46</v>
      </c>
      <c r="F265" s="54">
        <v>1111.33</v>
      </c>
      <c r="G265" s="54">
        <v>1116.22</v>
      </c>
      <c r="H265" s="54">
        <v>1121.1400000000001</v>
      </c>
      <c r="I265" s="54">
        <v>1126.07</v>
      </c>
      <c r="J265" s="54">
        <v>1131.02</v>
      </c>
      <c r="K265" s="54">
        <v>1136</v>
      </c>
      <c r="L265" s="54">
        <v>1138.8599999999999</v>
      </c>
      <c r="M265" s="54">
        <v>1149.6199999999999</v>
      </c>
      <c r="N265" s="54">
        <v>1160.49</v>
      </c>
      <c r="O265" s="55"/>
      <c r="P265" s="56"/>
      <c r="Q265" s="56"/>
      <c r="R265" s="56"/>
      <c r="S265" s="56"/>
      <c r="T265" s="57"/>
    </row>
    <row r="266" spans="1:20" ht="13.5" customHeight="1" x14ac:dyDescent="0.2">
      <c r="A266" s="53">
        <v>1541</v>
      </c>
      <c r="B266" s="54" t="s">
        <v>328</v>
      </c>
      <c r="C266" s="54">
        <v>12</v>
      </c>
      <c r="D266" s="54">
        <v>12.64</v>
      </c>
      <c r="E266" s="54">
        <v>12.75</v>
      </c>
      <c r="F266" s="54">
        <v>12.81</v>
      </c>
      <c r="G266" s="54">
        <v>12.87</v>
      </c>
      <c r="H266" s="54">
        <v>12.92</v>
      </c>
      <c r="I266" s="54">
        <v>12.98</v>
      </c>
      <c r="J266" s="54">
        <v>13.04</v>
      </c>
      <c r="K266" s="54">
        <v>13.09</v>
      </c>
      <c r="L266" s="54">
        <v>13.13</v>
      </c>
      <c r="M266" s="54">
        <v>13.25</v>
      </c>
      <c r="N266" s="54">
        <v>13.38</v>
      </c>
      <c r="O266" s="55"/>
      <c r="P266" s="56"/>
      <c r="Q266" s="56"/>
      <c r="R266" s="56"/>
      <c r="S266" s="56"/>
      <c r="T266" s="57"/>
    </row>
    <row r="267" spans="1:20" ht="13.5" customHeight="1" x14ac:dyDescent="0.2">
      <c r="A267" s="53">
        <v>1548</v>
      </c>
      <c r="B267" s="54" t="s">
        <v>329</v>
      </c>
      <c r="C267" s="54">
        <v>24</v>
      </c>
      <c r="D267" s="54">
        <v>13.7</v>
      </c>
      <c r="E267" s="54">
        <v>13.81</v>
      </c>
      <c r="F267" s="54">
        <v>13.88</v>
      </c>
      <c r="G267" s="54">
        <v>13.94</v>
      </c>
      <c r="H267" s="54">
        <v>14</v>
      </c>
      <c r="I267" s="54">
        <v>14.06</v>
      </c>
      <c r="J267" s="54">
        <v>14.12</v>
      </c>
      <c r="K267" s="54">
        <v>14.19</v>
      </c>
      <c r="L267" s="54">
        <v>14.22</v>
      </c>
      <c r="M267" s="54">
        <v>14.36</v>
      </c>
      <c r="N267" s="54">
        <v>14.49</v>
      </c>
      <c r="O267" s="55"/>
      <c r="P267" s="56"/>
      <c r="Q267" s="56"/>
      <c r="R267" s="56"/>
      <c r="S267" s="56"/>
      <c r="T267" s="57"/>
    </row>
    <row r="268" spans="1:20" ht="13.5" customHeight="1" x14ac:dyDescent="0.2">
      <c r="A268" s="53">
        <v>1551</v>
      </c>
      <c r="B268" s="54" t="s">
        <v>330</v>
      </c>
      <c r="C268" s="54">
        <v>18</v>
      </c>
      <c r="D268" s="54">
        <v>10.83</v>
      </c>
      <c r="E268" s="54">
        <v>10.93</v>
      </c>
      <c r="F268" s="54">
        <v>10.97</v>
      </c>
      <c r="G268" s="54">
        <v>11.02</v>
      </c>
      <c r="H268" s="54">
        <v>11.08</v>
      </c>
      <c r="I268" s="54">
        <v>11.12</v>
      </c>
      <c r="J268" s="54">
        <v>11.17</v>
      </c>
      <c r="K268" s="54">
        <v>11.21</v>
      </c>
      <c r="L268" s="54">
        <v>11.25</v>
      </c>
      <c r="M268" s="54">
        <v>11.35</v>
      </c>
      <c r="N268" s="54">
        <v>11.46</v>
      </c>
      <c r="O268" s="55"/>
      <c r="P268" s="56"/>
      <c r="Q268" s="56"/>
      <c r="R268" s="56"/>
      <c r="S268" s="56"/>
      <c r="T268" s="57"/>
    </row>
    <row r="269" spans="1:20" ht="13.5" customHeight="1" x14ac:dyDescent="0.2">
      <c r="A269" s="53">
        <v>1552</v>
      </c>
      <c r="B269" s="54" t="s">
        <v>331</v>
      </c>
      <c r="C269" s="54">
        <v>24</v>
      </c>
      <c r="D269" s="54">
        <v>13.57</v>
      </c>
      <c r="E269" s="54">
        <v>13.7</v>
      </c>
      <c r="F269" s="54">
        <v>13.75</v>
      </c>
      <c r="G269" s="54">
        <v>13.81</v>
      </c>
      <c r="H269" s="54">
        <v>13.88</v>
      </c>
      <c r="I269" s="54">
        <v>13.93</v>
      </c>
      <c r="J269" s="54">
        <v>13.99</v>
      </c>
      <c r="K269" s="54">
        <v>14.06</v>
      </c>
      <c r="L269" s="54">
        <v>14.09</v>
      </c>
      <c r="M269" s="54">
        <v>14.23</v>
      </c>
      <c r="N269" s="54">
        <v>14.36</v>
      </c>
      <c r="O269" s="55"/>
      <c r="P269" s="56"/>
      <c r="Q269" s="56"/>
      <c r="R269" s="56"/>
      <c r="S269" s="56"/>
      <c r="T269" s="57"/>
    </row>
    <row r="270" spans="1:20" ht="13.5" customHeight="1" x14ac:dyDescent="0.2">
      <c r="A270" s="53">
        <v>1568</v>
      </c>
      <c r="B270" s="54" t="s">
        <v>332</v>
      </c>
      <c r="C270" s="54">
        <v>12</v>
      </c>
      <c r="D270" s="54">
        <v>35.51</v>
      </c>
      <c r="E270" s="54">
        <v>35.83</v>
      </c>
      <c r="F270" s="54">
        <v>35.979999999999997</v>
      </c>
      <c r="G270" s="54">
        <v>36.14</v>
      </c>
      <c r="H270" s="54">
        <v>36.299999999999997</v>
      </c>
      <c r="I270" s="54">
        <v>36.450000000000003</v>
      </c>
      <c r="J270" s="54">
        <v>36.61</v>
      </c>
      <c r="K270" s="54">
        <v>36.770000000000003</v>
      </c>
      <c r="L270" s="54">
        <v>36.869999999999997</v>
      </c>
      <c r="M270" s="54">
        <v>37.22</v>
      </c>
      <c r="N270" s="54">
        <v>37.57</v>
      </c>
      <c r="O270" s="55"/>
      <c r="P270" s="56"/>
      <c r="Q270" s="56"/>
      <c r="R270" s="56"/>
      <c r="S270" s="56"/>
      <c r="T270" s="57"/>
    </row>
    <row r="271" spans="1:20" ht="13.5" customHeight="1" x14ac:dyDescent="0.2">
      <c r="A271" s="53">
        <v>1580</v>
      </c>
      <c r="B271" s="54" t="s">
        <v>333</v>
      </c>
      <c r="C271" s="54">
        <v>12</v>
      </c>
      <c r="D271" s="54">
        <v>21.76</v>
      </c>
      <c r="E271" s="54">
        <v>21.95</v>
      </c>
      <c r="F271" s="54">
        <v>22.04</v>
      </c>
      <c r="G271" s="54">
        <v>22.14</v>
      </c>
      <c r="H271" s="54">
        <v>22.24</v>
      </c>
      <c r="I271" s="54">
        <v>22.34</v>
      </c>
      <c r="J271" s="54">
        <v>22.43</v>
      </c>
      <c r="K271" s="54">
        <v>22.53</v>
      </c>
      <c r="L271" s="54">
        <v>22.59</v>
      </c>
      <c r="M271" s="54">
        <v>22.8</v>
      </c>
      <c r="N271" s="54">
        <v>23.02</v>
      </c>
      <c r="O271" s="55"/>
      <c r="P271" s="56"/>
      <c r="Q271" s="56"/>
      <c r="R271" s="56"/>
      <c r="S271" s="56"/>
      <c r="T271" s="57"/>
    </row>
    <row r="272" spans="1:20" ht="13.5" customHeight="1" x14ac:dyDescent="0.2">
      <c r="A272" s="53">
        <v>1581</v>
      </c>
      <c r="B272" s="54" t="s">
        <v>334</v>
      </c>
      <c r="C272" s="54">
        <v>12</v>
      </c>
      <c r="D272" s="54">
        <v>12.74</v>
      </c>
      <c r="E272" s="54">
        <v>12.86</v>
      </c>
      <c r="F272" s="54">
        <v>12.91</v>
      </c>
      <c r="G272" s="54">
        <v>12.97</v>
      </c>
      <c r="H272" s="54">
        <v>13.03</v>
      </c>
      <c r="I272" s="54">
        <v>13.08</v>
      </c>
      <c r="J272" s="54">
        <v>13.14</v>
      </c>
      <c r="K272" s="54">
        <v>13.2</v>
      </c>
      <c r="L272" s="54">
        <v>13.23</v>
      </c>
      <c r="M272" s="54">
        <v>13.36</v>
      </c>
      <c r="N272" s="54">
        <v>13.48</v>
      </c>
      <c r="O272" s="55"/>
      <c r="P272" s="56"/>
      <c r="Q272" s="56"/>
      <c r="R272" s="56"/>
      <c r="S272" s="56"/>
      <c r="T272" s="57"/>
    </row>
    <row r="273" spans="1:20" ht="13.5" customHeight="1" x14ac:dyDescent="0.2">
      <c r="A273" s="53">
        <v>1582</v>
      </c>
      <c r="B273" s="54" t="s">
        <v>334</v>
      </c>
      <c r="C273" s="54">
        <v>12</v>
      </c>
      <c r="D273" s="54">
        <v>12.74</v>
      </c>
      <c r="E273" s="54">
        <v>12.86</v>
      </c>
      <c r="F273" s="54">
        <v>12.91</v>
      </c>
      <c r="G273" s="54">
        <v>12.97</v>
      </c>
      <c r="H273" s="54">
        <v>13.03</v>
      </c>
      <c r="I273" s="54">
        <v>13.08</v>
      </c>
      <c r="J273" s="54">
        <v>13.14</v>
      </c>
      <c r="K273" s="54">
        <v>13.2</v>
      </c>
      <c r="L273" s="54">
        <v>13.23</v>
      </c>
      <c r="M273" s="54">
        <v>13.36</v>
      </c>
      <c r="N273" s="54">
        <v>13.48</v>
      </c>
      <c r="O273" s="55"/>
      <c r="P273" s="56"/>
      <c r="Q273" s="56"/>
      <c r="R273" s="56"/>
      <c r="S273" s="56"/>
      <c r="T273" s="57"/>
    </row>
    <row r="274" spans="1:20" ht="13.5" customHeight="1" x14ac:dyDescent="0.2">
      <c r="A274" s="53">
        <v>1583</v>
      </c>
      <c r="B274" s="54" t="s">
        <v>334</v>
      </c>
      <c r="C274" s="54">
        <v>12</v>
      </c>
      <c r="D274" s="54">
        <v>15.32</v>
      </c>
      <c r="E274" s="54">
        <v>15.45</v>
      </c>
      <c r="F274" s="54">
        <v>15.52</v>
      </c>
      <c r="G274" s="54">
        <v>15.59</v>
      </c>
      <c r="H274" s="54">
        <v>15.66</v>
      </c>
      <c r="I274" s="54">
        <v>15.73</v>
      </c>
      <c r="J274" s="54">
        <v>15.8</v>
      </c>
      <c r="K274" s="54">
        <v>15.87</v>
      </c>
      <c r="L274" s="54">
        <v>15.91</v>
      </c>
      <c r="M274" s="54">
        <v>16.059999999999999</v>
      </c>
      <c r="N274" s="54">
        <v>16.21</v>
      </c>
      <c r="O274" s="55"/>
      <c r="P274" s="56"/>
      <c r="Q274" s="56"/>
      <c r="R274" s="56"/>
      <c r="S274" s="56"/>
      <c r="T274" s="57"/>
    </row>
    <row r="275" spans="1:20" ht="13.5" customHeight="1" x14ac:dyDescent="0.2">
      <c r="A275" s="53">
        <v>1584</v>
      </c>
      <c r="B275" s="54" t="s">
        <v>334</v>
      </c>
      <c r="C275" s="54">
        <v>12</v>
      </c>
      <c r="D275" s="54">
        <v>8.8800000000000008</v>
      </c>
      <c r="E275" s="54">
        <v>8.9600000000000009</v>
      </c>
      <c r="F275" s="54">
        <v>9</v>
      </c>
      <c r="G275" s="54">
        <v>9.0399999999999991</v>
      </c>
      <c r="H275" s="54">
        <v>9.08</v>
      </c>
      <c r="I275" s="54">
        <v>9.1199999999999992</v>
      </c>
      <c r="J275" s="54">
        <v>9.16</v>
      </c>
      <c r="K275" s="54">
        <v>9.1999999999999993</v>
      </c>
      <c r="L275" s="54">
        <v>9.2200000000000006</v>
      </c>
      <c r="M275" s="54">
        <v>9.31</v>
      </c>
      <c r="N275" s="54">
        <v>9.4</v>
      </c>
      <c r="O275" s="55"/>
      <c r="P275" s="56"/>
      <c r="Q275" s="56"/>
      <c r="R275" s="56"/>
      <c r="S275" s="56"/>
      <c r="T275" s="57"/>
    </row>
    <row r="276" spans="1:20" ht="13.5" customHeight="1" x14ac:dyDescent="0.2">
      <c r="A276" s="53">
        <v>1585</v>
      </c>
      <c r="B276" s="54" t="s">
        <v>334</v>
      </c>
      <c r="C276" s="54">
        <v>12</v>
      </c>
      <c r="D276" s="54">
        <v>6.72</v>
      </c>
      <c r="E276" s="54">
        <v>6.77</v>
      </c>
      <c r="F276" s="54">
        <v>6.81</v>
      </c>
      <c r="G276" s="54">
        <v>6.84</v>
      </c>
      <c r="H276" s="54">
        <v>6.87</v>
      </c>
      <c r="I276" s="54">
        <v>6.9</v>
      </c>
      <c r="J276" s="54">
        <v>6.92</v>
      </c>
      <c r="K276" s="54">
        <v>6.95</v>
      </c>
      <c r="L276" s="54">
        <v>6.98</v>
      </c>
      <c r="M276" s="54">
        <v>7.04</v>
      </c>
      <c r="N276" s="54">
        <v>7.1</v>
      </c>
      <c r="O276" s="55"/>
      <c r="P276" s="56"/>
      <c r="Q276" s="56"/>
      <c r="R276" s="56"/>
      <c r="S276" s="56"/>
      <c r="T276" s="57"/>
    </row>
    <row r="277" spans="1:20" ht="13.5" customHeight="1" x14ac:dyDescent="0.2">
      <c r="A277" s="53">
        <v>1586</v>
      </c>
      <c r="B277" s="54" t="s">
        <v>335</v>
      </c>
      <c r="C277" s="54">
        <v>12</v>
      </c>
      <c r="D277" s="54">
        <v>7.6</v>
      </c>
      <c r="E277" s="54">
        <v>7.66</v>
      </c>
      <c r="F277" s="54">
        <v>7.7</v>
      </c>
      <c r="G277" s="54">
        <v>7.73</v>
      </c>
      <c r="H277" s="54">
        <v>7.76</v>
      </c>
      <c r="I277" s="54">
        <v>7.8</v>
      </c>
      <c r="J277" s="54">
        <v>7.83</v>
      </c>
      <c r="K277" s="54">
        <v>7.87</v>
      </c>
      <c r="L277" s="54">
        <v>7.89</v>
      </c>
      <c r="M277" s="54">
        <v>7.96</v>
      </c>
      <c r="N277" s="54">
        <v>8.0399999999999991</v>
      </c>
      <c r="O277" s="55"/>
      <c r="P277" s="56"/>
      <c r="Q277" s="56"/>
      <c r="R277" s="56"/>
      <c r="S277" s="56"/>
      <c r="T277" s="57"/>
    </row>
    <row r="278" spans="1:20" ht="13.5" customHeight="1" x14ac:dyDescent="0.2">
      <c r="A278" s="53">
        <v>1587</v>
      </c>
      <c r="B278" s="54" t="s">
        <v>336</v>
      </c>
      <c r="C278" s="54">
        <v>12</v>
      </c>
      <c r="D278" s="54">
        <v>6.78</v>
      </c>
      <c r="E278" s="54">
        <v>6.85</v>
      </c>
      <c r="F278" s="54">
        <v>6.88</v>
      </c>
      <c r="G278" s="54">
        <v>6.91</v>
      </c>
      <c r="H278" s="54">
        <v>6.93</v>
      </c>
      <c r="I278" s="54">
        <v>6.97</v>
      </c>
      <c r="J278" s="54">
        <v>7</v>
      </c>
      <c r="K278" s="54">
        <v>7.03</v>
      </c>
      <c r="L278" s="54">
        <v>7.05</v>
      </c>
      <c r="M278" s="54">
        <v>7.11</v>
      </c>
      <c r="N278" s="54">
        <v>7.18</v>
      </c>
      <c r="O278" s="55"/>
      <c r="P278" s="56"/>
      <c r="Q278" s="56"/>
      <c r="R278" s="56"/>
      <c r="S278" s="56"/>
      <c r="T278" s="57"/>
    </row>
    <row r="279" spans="1:20" ht="13.5" customHeight="1" x14ac:dyDescent="0.2">
      <c r="A279" s="53">
        <v>1588</v>
      </c>
      <c r="B279" s="54" t="s">
        <v>337</v>
      </c>
      <c r="C279" s="54">
        <v>12</v>
      </c>
      <c r="D279" s="54">
        <v>53.34</v>
      </c>
      <c r="E279" s="54">
        <v>53.8</v>
      </c>
      <c r="F279" s="54">
        <v>54.04</v>
      </c>
      <c r="G279" s="54">
        <v>54.27</v>
      </c>
      <c r="H279" s="54">
        <v>54.52</v>
      </c>
      <c r="I279" s="54">
        <v>54.75</v>
      </c>
      <c r="J279" s="54">
        <v>55</v>
      </c>
      <c r="K279" s="54">
        <v>55.24</v>
      </c>
      <c r="L279" s="54">
        <v>55.38</v>
      </c>
      <c r="M279" s="54">
        <v>55.9</v>
      </c>
      <c r="N279" s="54">
        <v>56.42</v>
      </c>
      <c r="O279" s="55"/>
      <c r="P279" s="56"/>
      <c r="Q279" s="56"/>
      <c r="R279" s="56"/>
      <c r="S279" s="56"/>
      <c r="T279" s="57"/>
    </row>
    <row r="280" spans="1:20" ht="13.5" customHeight="1" x14ac:dyDescent="0.2">
      <c r="A280" s="53">
        <v>1589</v>
      </c>
      <c r="B280" s="54" t="s">
        <v>338</v>
      </c>
      <c r="C280" s="54">
        <v>6</v>
      </c>
      <c r="D280" s="54">
        <v>10.83</v>
      </c>
      <c r="E280" s="54">
        <v>10.93</v>
      </c>
      <c r="F280" s="54">
        <v>10.97</v>
      </c>
      <c r="G280" s="54">
        <v>11.02</v>
      </c>
      <c r="H280" s="54">
        <v>11.08</v>
      </c>
      <c r="I280" s="54">
        <v>11.12</v>
      </c>
      <c r="J280" s="54">
        <v>11.17</v>
      </c>
      <c r="K280" s="54">
        <v>11.21</v>
      </c>
      <c r="L280" s="54">
        <v>11.25</v>
      </c>
      <c r="M280" s="54">
        <v>11.35</v>
      </c>
      <c r="N280" s="54">
        <v>11.46</v>
      </c>
      <c r="O280" s="55"/>
      <c r="P280" s="56"/>
      <c r="Q280" s="56"/>
      <c r="R280" s="56"/>
      <c r="S280" s="56"/>
      <c r="T280" s="57"/>
    </row>
    <row r="281" spans="1:20" ht="13.5" customHeight="1" x14ac:dyDescent="0.2">
      <c r="A281" s="53">
        <v>1598</v>
      </c>
      <c r="B281" s="54" t="s">
        <v>339</v>
      </c>
      <c r="C281" s="54">
        <v>12</v>
      </c>
      <c r="D281" s="54">
        <v>14.94</v>
      </c>
      <c r="E281" s="54">
        <v>15.08</v>
      </c>
      <c r="F281" s="54">
        <v>15.14</v>
      </c>
      <c r="G281" s="54">
        <v>15.21</v>
      </c>
      <c r="H281" s="54">
        <v>15.27</v>
      </c>
      <c r="I281" s="54">
        <v>15.35</v>
      </c>
      <c r="J281" s="54">
        <v>15.41</v>
      </c>
      <c r="K281" s="54">
        <v>15.47</v>
      </c>
      <c r="L281" s="54">
        <v>15.52</v>
      </c>
      <c r="M281" s="54">
        <v>15.67</v>
      </c>
      <c r="N281" s="54">
        <v>15.82</v>
      </c>
      <c r="O281" s="55"/>
      <c r="P281" s="56"/>
      <c r="Q281" s="56"/>
      <c r="R281" s="56"/>
      <c r="S281" s="56"/>
      <c r="T281" s="57"/>
    </row>
    <row r="282" spans="1:20" ht="13.5" customHeight="1" x14ac:dyDescent="0.2">
      <c r="A282" s="53">
        <v>1601</v>
      </c>
      <c r="B282" s="54" t="s">
        <v>340</v>
      </c>
      <c r="C282" s="54">
        <v>6</v>
      </c>
      <c r="D282" s="54">
        <v>17.89</v>
      </c>
      <c r="E282" s="54">
        <v>18.05</v>
      </c>
      <c r="F282" s="54">
        <v>18.13</v>
      </c>
      <c r="G282" s="54">
        <v>18.21</v>
      </c>
      <c r="H282" s="54">
        <v>18.29</v>
      </c>
      <c r="I282" s="54">
        <v>18.37</v>
      </c>
      <c r="J282" s="54">
        <v>18.45</v>
      </c>
      <c r="K282" s="54">
        <v>18.53</v>
      </c>
      <c r="L282" s="54">
        <v>18.579999999999998</v>
      </c>
      <c r="M282" s="54">
        <v>18.75</v>
      </c>
      <c r="N282" s="54">
        <v>18.93</v>
      </c>
      <c r="O282" s="55"/>
      <c r="P282" s="56"/>
      <c r="Q282" s="56"/>
      <c r="R282" s="56"/>
      <c r="S282" s="56"/>
      <c r="T282" s="57"/>
    </row>
    <row r="283" spans="1:20" ht="13.5" customHeight="1" x14ac:dyDescent="0.2">
      <c r="A283" s="53">
        <v>1602</v>
      </c>
      <c r="B283" s="54" t="s">
        <v>341</v>
      </c>
      <c r="C283" s="54">
        <v>6</v>
      </c>
      <c r="D283" s="54">
        <v>8.8800000000000008</v>
      </c>
      <c r="E283" s="54">
        <v>8.9600000000000009</v>
      </c>
      <c r="F283" s="54">
        <v>9</v>
      </c>
      <c r="G283" s="54">
        <v>9.0399999999999991</v>
      </c>
      <c r="H283" s="54">
        <v>9.08</v>
      </c>
      <c r="I283" s="54">
        <v>9.1199999999999992</v>
      </c>
      <c r="J283" s="54">
        <v>9.16</v>
      </c>
      <c r="K283" s="54">
        <v>9.1999999999999993</v>
      </c>
      <c r="L283" s="54">
        <v>9.2200000000000006</v>
      </c>
      <c r="M283" s="54">
        <v>9.31</v>
      </c>
      <c r="N283" s="54">
        <v>9.4</v>
      </c>
      <c r="O283" s="55"/>
      <c r="P283" s="56"/>
      <c r="Q283" s="56"/>
      <c r="R283" s="56"/>
      <c r="S283" s="56"/>
      <c r="T283" s="57"/>
    </row>
    <row r="284" spans="1:20" ht="13.5" customHeight="1" x14ac:dyDescent="0.2">
      <c r="A284" s="53">
        <v>1607</v>
      </c>
      <c r="B284" s="54" t="s">
        <v>342</v>
      </c>
      <c r="C284" s="54">
        <v>12</v>
      </c>
      <c r="D284" s="54">
        <v>5.39</v>
      </c>
      <c r="E284" s="54">
        <v>5.43</v>
      </c>
      <c r="F284" s="54">
        <v>5.46</v>
      </c>
      <c r="G284" s="54">
        <v>5.48</v>
      </c>
      <c r="H284" s="54">
        <v>5.51</v>
      </c>
      <c r="I284" s="54">
        <v>5.53</v>
      </c>
      <c r="J284" s="54">
        <v>5.56</v>
      </c>
      <c r="K284" s="54">
        <v>5.58</v>
      </c>
      <c r="L284" s="54">
        <v>5.59</v>
      </c>
      <c r="M284" s="54">
        <v>5.64</v>
      </c>
      <c r="N284" s="54">
        <v>5.7</v>
      </c>
      <c r="O284" s="55"/>
      <c r="P284" s="56"/>
      <c r="Q284" s="56"/>
      <c r="R284" s="56"/>
      <c r="S284" s="56"/>
      <c r="T284" s="57"/>
    </row>
    <row r="285" spans="1:20" ht="13.5" customHeight="1" x14ac:dyDescent="0.2">
      <c r="A285" s="53">
        <v>1621</v>
      </c>
      <c r="B285" s="54" t="s">
        <v>343</v>
      </c>
      <c r="C285" s="54">
        <v>12</v>
      </c>
      <c r="D285" s="54">
        <v>3</v>
      </c>
      <c r="E285" s="54">
        <v>3.02</v>
      </c>
      <c r="F285" s="54">
        <v>3.05</v>
      </c>
      <c r="G285" s="54">
        <v>3.06</v>
      </c>
      <c r="H285" s="54">
        <v>3.07</v>
      </c>
      <c r="I285" s="54">
        <v>3.08</v>
      </c>
      <c r="J285" s="54">
        <v>3.1</v>
      </c>
      <c r="K285" s="54">
        <v>3.11</v>
      </c>
      <c r="L285" s="54">
        <v>3.12</v>
      </c>
      <c r="M285" s="54">
        <v>3.15</v>
      </c>
      <c r="N285" s="54">
        <v>3.17</v>
      </c>
      <c r="O285" s="55"/>
      <c r="P285" s="56"/>
      <c r="Q285" s="56"/>
      <c r="R285" s="56"/>
      <c r="S285" s="56"/>
      <c r="T285" s="57"/>
    </row>
    <row r="286" spans="1:20" ht="13.5" customHeight="1" x14ac:dyDescent="0.2">
      <c r="A286" s="53">
        <v>1623</v>
      </c>
      <c r="B286" s="54" t="s">
        <v>344</v>
      </c>
      <c r="C286" s="54">
        <v>10</v>
      </c>
      <c r="D286" s="54">
        <v>5.35</v>
      </c>
      <c r="E286" s="54">
        <v>5.39</v>
      </c>
      <c r="F286" s="54">
        <v>5.42</v>
      </c>
      <c r="G286" s="54">
        <v>5.44</v>
      </c>
      <c r="H286" s="54">
        <v>5.46</v>
      </c>
      <c r="I286" s="54">
        <v>5.48</v>
      </c>
      <c r="J286" s="54">
        <v>5.52</v>
      </c>
      <c r="K286" s="54">
        <v>5.54</v>
      </c>
      <c r="L286" s="54">
        <v>5.55</v>
      </c>
      <c r="M286" s="54">
        <v>5.6</v>
      </c>
      <c r="N286" s="54">
        <v>5.66</v>
      </c>
      <c r="O286" s="55"/>
      <c r="P286" s="56"/>
      <c r="Q286" s="56"/>
      <c r="R286" s="56"/>
      <c r="S286" s="56"/>
      <c r="T286" s="57"/>
    </row>
    <row r="287" spans="1:20" ht="13.5" customHeight="1" x14ac:dyDescent="0.2">
      <c r="A287" s="53">
        <v>1624</v>
      </c>
      <c r="B287" s="54" t="s">
        <v>345</v>
      </c>
      <c r="C287" s="54">
        <v>6</v>
      </c>
      <c r="D287" s="54">
        <v>6.78</v>
      </c>
      <c r="E287" s="54">
        <v>6.85</v>
      </c>
      <c r="F287" s="54">
        <v>6.88</v>
      </c>
      <c r="G287" s="54">
        <v>6.91</v>
      </c>
      <c r="H287" s="54">
        <v>6.93</v>
      </c>
      <c r="I287" s="54">
        <v>6.97</v>
      </c>
      <c r="J287" s="54">
        <v>7</v>
      </c>
      <c r="K287" s="54">
        <v>7.03</v>
      </c>
      <c r="L287" s="54">
        <v>7.05</v>
      </c>
      <c r="M287" s="54">
        <v>7.11</v>
      </c>
      <c r="N287" s="54">
        <v>7.18</v>
      </c>
      <c r="O287" s="55"/>
      <c r="P287" s="56"/>
      <c r="Q287" s="56"/>
      <c r="R287" s="56"/>
      <c r="S287" s="56"/>
      <c r="T287" s="57"/>
    </row>
    <row r="288" spans="1:20" ht="13.5" customHeight="1" x14ac:dyDescent="0.2">
      <c r="A288" s="53">
        <v>1627</v>
      </c>
      <c r="B288" s="54" t="s">
        <v>346</v>
      </c>
      <c r="C288" s="54">
        <v>1</v>
      </c>
      <c r="D288" s="54">
        <v>262.79000000000002</v>
      </c>
      <c r="E288" s="54">
        <v>265.11</v>
      </c>
      <c r="F288" s="54">
        <v>266.27</v>
      </c>
      <c r="G288" s="54">
        <v>267.44</v>
      </c>
      <c r="H288" s="54">
        <v>268.62</v>
      </c>
      <c r="I288" s="54">
        <v>269.81</v>
      </c>
      <c r="J288" s="54">
        <v>270.99</v>
      </c>
      <c r="K288" s="54">
        <v>272.18</v>
      </c>
      <c r="L288" s="54">
        <v>272.87</v>
      </c>
      <c r="M288" s="54">
        <v>275.45</v>
      </c>
      <c r="N288" s="54">
        <v>278.05</v>
      </c>
      <c r="O288" s="55"/>
      <c r="P288" s="56"/>
      <c r="Q288" s="56"/>
      <c r="R288" s="56"/>
      <c r="S288" s="56"/>
      <c r="T288" s="57"/>
    </row>
    <row r="289" spans="1:20" ht="13.5" customHeight="1" x14ac:dyDescent="0.2">
      <c r="A289" s="53">
        <v>1640</v>
      </c>
      <c r="B289" s="54" t="s">
        <v>347</v>
      </c>
      <c r="C289" s="54">
        <v>12</v>
      </c>
      <c r="D289" s="54">
        <v>7.4</v>
      </c>
      <c r="E289" s="54">
        <v>7.47</v>
      </c>
      <c r="F289" s="54">
        <v>7.5</v>
      </c>
      <c r="G289" s="54">
        <v>7.53</v>
      </c>
      <c r="H289" s="54">
        <v>7.57</v>
      </c>
      <c r="I289" s="54">
        <v>7.6</v>
      </c>
      <c r="J289" s="54">
        <v>7.64</v>
      </c>
      <c r="K289" s="54">
        <v>7.67</v>
      </c>
      <c r="L289" s="54">
        <v>7.69</v>
      </c>
      <c r="M289" s="54">
        <v>7.76</v>
      </c>
      <c r="N289" s="54">
        <v>7.84</v>
      </c>
      <c r="O289" s="55"/>
      <c r="P289" s="56"/>
      <c r="Q289" s="56"/>
      <c r="R289" s="56"/>
      <c r="S289" s="56"/>
      <c r="T289" s="57"/>
    </row>
    <row r="290" spans="1:20" ht="13.5" customHeight="1" x14ac:dyDescent="0.2">
      <c r="A290" s="53" t="s">
        <v>348</v>
      </c>
      <c r="B290" s="54" t="s">
        <v>349</v>
      </c>
      <c r="C290" s="54">
        <v>12</v>
      </c>
      <c r="D290" s="54">
        <v>9.17</v>
      </c>
      <c r="E290" s="54">
        <v>9.25</v>
      </c>
      <c r="F290" s="54">
        <v>9.3000000000000007</v>
      </c>
      <c r="G290" s="54">
        <v>9.33</v>
      </c>
      <c r="H290" s="54">
        <v>9.3699999999999992</v>
      </c>
      <c r="I290" s="54">
        <v>9.41</v>
      </c>
      <c r="J290" s="54">
        <v>9.4600000000000009</v>
      </c>
      <c r="K290" s="54">
        <v>9.5</v>
      </c>
      <c r="L290" s="54">
        <v>9.52</v>
      </c>
      <c r="M290" s="54">
        <v>9.6199999999999992</v>
      </c>
      <c r="N290" s="54">
        <v>9.6999999999999993</v>
      </c>
      <c r="O290" s="55"/>
      <c r="P290" s="56"/>
      <c r="Q290" s="56"/>
      <c r="R290" s="56"/>
      <c r="S290" s="56"/>
      <c r="T290" s="57"/>
    </row>
    <row r="291" spans="1:20" ht="13.5" customHeight="1" x14ac:dyDescent="0.2">
      <c r="A291" s="53">
        <v>1686</v>
      </c>
      <c r="B291" s="54" t="s">
        <v>350</v>
      </c>
      <c r="C291" s="54">
        <v>12</v>
      </c>
      <c r="D291" s="54">
        <v>19.05</v>
      </c>
      <c r="E291" s="54">
        <v>19.22</v>
      </c>
      <c r="F291" s="54">
        <v>19.309999999999999</v>
      </c>
      <c r="G291" s="54">
        <v>19.39</v>
      </c>
      <c r="H291" s="54">
        <v>19.48</v>
      </c>
      <c r="I291" s="54">
        <v>19.559999999999999</v>
      </c>
      <c r="J291" s="54">
        <v>19.649999999999999</v>
      </c>
      <c r="K291" s="54">
        <v>19.73</v>
      </c>
      <c r="L291" s="54">
        <v>19.79</v>
      </c>
      <c r="M291" s="54">
        <v>19.98</v>
      </c>
      <c r="N291" s="54">
        <v>20.16</v>
      </c>
      <c r="O291" s="55"/>
      <c r="P291" s="56"/>
      <c r="Q291" s="56"/>
      <c r="R291" s="56"/>
      <c r="S291" s="56"/>
      <c r="T291" s="57"/>
    </row>
    <row r="292" spans="1:20" ht="13.5" customHeight="1" x14ac:dyDescent="0.2">
      <c r="A292" s="53">
        <v>1692</v>
      </c>
      <c r="B292" s="54" t="s">
        <v>351</v>
      </c>
      <c r="C292" s="54">
        <v>24</v>
      </c>
      <c r="D292" s="54">
        <v>32.770000000000003</v>
      </c>
      <c r="E292" s="54">
        <v>33.06</v>
      </c>
      <c r="F292" s="54">
        <v>33.200000000000003</v>
      </c>
      <c r="G292" s="54">
        <v>33.35</v>
      </c>
      <c r="H292" s="54">
        <v>33.49</v>
      </c>
      <c r="I292" s="54">
        <v>33.64</v>
      </c>
      <c r="J292" s="54">
        <v>33.79</v>
      </c>
      <c r="K292" s="54">
        <v>33.94</v>
      </c>
      <c r="L292" s="54">
        <v>34.03</v>
      </c>
      <c r="M292" s="54">
        <v>34.35</v>
      </c>
      <c r="N292" s="54">
        <v>34.67</v>
      </c>
      <c r="O292" s="55"/>
      <c r="P292" s="56"/>
      <c r="Q292" s="56"/>
      <c r="R292" s="56"/>
      <c r="S292" s="56"/>
      <c r="T292" s="57"/>
    </row>
    <row r="293" spans="1:20" ht="13.5" customHeight="1" x14ac:dyDescent="0.2">
      <c r="A293" s="53">
        <v>1695</v>
      </c>
      <c r="B293" s="54" t="s">
        <v>352</v>
      </c>
      <c r="C293" s="54">
        <v>24</v>
      </c>
      <c r="D293" s="54">
        <v>13.63</v>
      </c>
      <c r="E293" s="54">
        <v>13.75</v>
      </c>
      <c r="F293" s="54">
        <v>13.81</v>
      </c>
      <c r="G293" s="54">
        <v>13.87</v>
      </c>
      <c r="H293" s="54">
        <v>13.93</v>
      </c>
      <c r="I293" s="54">
        <v>13.99</v>
      </c>
      <c r="J293" s="54">
        <v>14.06</v>
      </c>
      <c r="K293" s="54">
        <v>14.11</v>
      </c>
      <c r="L293" s="54">
        <v>14.15</v>
      </c>
      <c r="M293" s="54">
        <v>14.28</v>
      </c>
      <c r="N293" s="54">
        <v>14.42</v>
      </c>
      <c r="O293" s="55"/>
      <c r="P293" s="56"/>
      <c r="Q293" s="56"/>
      <c r="R293" s="56"/>
      <c r="S293" s="56"/>
      <c r="T293" s="57"/>
    </row>
    <row r="294" spans="1:20" ht="13.5" customHeight="1" x14ac:dyDescent="0.2">
      <c r="A294" s="53">
        <v>1696</v>
      </c>
      <c r="B294" s="54" t="s">
        <v>353</v>
      </c>
      <c r="C294" s="54">
        <v>12</v>
      </c>
      <c r="D294" s="54">
        <v>25.45</v>
      </c>
      <c r="E294" s="54">
        <v>25.67</v>
      </c>
      <c r="F294" s="54">
        <v>25.79</v>
      </c>
      <c r="G294" s="54">
        <v>25.9</v>
      </c>
      <c r="H294" s="54">
        <v>26.01</v>
      </c>
      <c r="I294" s="54">
        <v>26.13</v>
      </c>
      <c r="J294" s="54">
        <v>26.24</v>
      </c>
      <c r="K294" s="54">
        <v>26.36</v>
      </c>
      <c r="L294" s="54">
        <v>26.43</v>
      </c>
      <c r="M294" s="54">
        <v>26.68</v>
      </c>
      <c r="N294" s="54">
        <v>26.93</v>
      </c>
      <c r="O294" s="55"/>
      <c r="P294" s="56"/>
      <c r="Q294" s="56"/>
      <c r="R294" s="56"/>
      <c r="S294" s="56"/>
      <c r="T294" s="57"/>
    </row>
    <row r="295" spans="1:20" ht="13.5" customHeight="1" x14ac:dyDescent="0.2">
      <c r="A295" s="53">
        <v>1697</v>
      </c>
      <c r="B295" s="54" t="s">
        <v>354</v>
      </c>
      <c r="C295" s="54">
        <v>12</v>
      </c>
      <c r="D295" s="54">
        <v>11.09</v>
      </c>
      <c r="E295" s="54">
        <v>11.19</v>
      </c>
      <c r="F295" s="54">
        <v>11.24</v>
      </c>
      <c r="G295" s="54">
        <v>11.29</v>
      </c>
      <c r="H295" s="54">
        <v>11.34</v>
      </c>
      <c r="I295" s="54">
        <v>11.39</v>
      </c>
      <c r="J295" s="54">
        <v>11.44</v>
      </c>
      <c r="K295" s="54">
        <v>11.49</v>
      </c>
      <c r="L295" s="54">
        <v>11.52</v>
      </c>
      <c r="M295" s="54">
        <v>11.63</v>
      </c>
      <c r="N295" s="54">
        <v>11.74</v>
      </c>
      <c r="O295" s="55"/>
      <c r="P295" s="56"/>
      <c r="Q295" s="56"/>
      <c r="R295" s="56"/>
      <c r="S295" s="56"/>
      <c r="T295" s="57"/>
    </row>
    <row r="296" spans="1:20" ht="13.5" customHeight="1" x14ac:dyDescent="0.2">
      <c r="A296" s="53">
        <v>1698</v>
      </c>
      <c r="B296" s="54" t="s">
        <v>355</v>
      </c>
      <c r="C296" s="54">
        <v>12</v>
      </c>
      <c r="D296" s="54">
        <v>17.690000000000001</v>
      </c>
      <c r="E296" s="54">
        <v>17.84</v>
      </c>
      <c r="F296" s="54">
        <v>17.920000000000002</v>
      </c>
      <c r="G296" s="54">
        <v>18</v>
      </c>
      <c r="H296" s="54">
        <v>18.07</v>
      </c>
      <c r="I296" s="54">
        <v>18.16</v>
      </c>
      <c r="J296" s="54">
        <v>18.23</v>
      </c>
      <c r="K296" s="54">
        <v>18.32</v>
      </c>
      <c r="L296" s="54">
        <v>18.36</v>
      </c>
      <c r="M296" s="54">
        <v>18.54</v>
      </c>
      <c r="N296" s="54">
        <v>18.71</v>
      </c>
      <c r="O296" s="55"/>
      <c r="P296" s="56"/>
      <c r="Q296" s="56"/>
      <c r="R296" s="56"/>
      <c r="S296" s="56"/>
      <c r="T296" s="57"/>
    </row>
    <row r="297" spans="1:20" ht="13.5" customHeight="1" x14ac:dyDescent="0.2">
      <c r="A297" s="53">
        <v>1699</v>
      </c>
      <c r="B297" s="54" t="s">
        <v>356</v>
      </c>
      <c r="C297" s="54">
        <v>12</v>
      </c>
      <c r="D297" s="54">
        <v>27.29</v>
      </c>
      <c r="E297" s="54">
        <v>27.52</v>
      </c>
      <c r="F297" s="54">
        <v>27.65</v>
      </c>
      <c r="G297" s="54">
        <v>27.76</v>
      </c>
      <c r="H297" s="54">
        <v>27.89</v>
      </c>
      <c r="I297" s="54">
        <v>28.01</v>
      </c>
      <c r="J297" s="54">
        <v>28.14</v>
      </c>
      <c r="K297" s="54">
        <v>28.25</v>
      </c>
      <c r="L297" s="54">
        <v>28.33</v>
      </c>
      <c r="M297" s="54">
        <v>28.6</v>
      </c>
      <c r="N297" s="54">
        <v>28.87</v>
      </c>
      <c r="O297" s="55"/>
      <c r="P297" s="56"/>
      <c r="Q297" s="56"/>
      <c r="R297" s="56"/>
      <c r="S297" s="56"/>
      <c r="T297" s="57"/>
    </row>
    <row r="298" spans="1:20" ht="13.5" customHeight="1" x14ac:dyDescent="0.2">
      <c r="A298" s="53">
        <v>1700</v>
      </c>
      <c r="B298" s="54" t="s">
        <v>357</v>
      </c>
      <c r="C298" s="54">
        <v>12</v>
      </c>
      <c r="D298" s="54">
        <v>34.130000000000003</v>
      </c>
      <c r="E298" s="54">
        <v>34.44</v>
      </c>
      <c r="F298" s="54">
        <v>34.590000000000003</v>
      </c>
      <c r="G298" s="54">
        <v>34.74</v>
      </c>
      <c r="H298" s="54">
        <v>34.9</v>
      </c>
      <c r="I298" s="54">
        <v>35.049999999999997</v>
      </c>
      <c r="J298" s="54">
        <v>35.200000000000003</v>
      </c>
      <c r="K298" s="54">
        <v>35.36</v>
      </c>
      <c r="L298" s="54">
        <v>35.44</v>
      </c>
      <c r="M298" s="54">
        <v>35.78</v>
      </c>
      <c r="N298" s="54">
        <v>36.119999999999997</v>
      </c>
      <c r="O298" s="55"/>
      <c r="P298" s="56"/>
      <c r="Q298" s="56"/>
      <c r="R298" s="56"/>
      <c r="S298" s="56"/>
      <c r="T298" s="57"/>
    </row>
    <row r="299" spans="1:20" ht="13.5" customHeight="1" x14ac:dyDescent="0.2">
      <c r="A299" s="53">
        <v>1701</v>
      </c>
      <c r="B299" s="54" t="s">
        <v>358</v>
      </c>
      <c r="C299" s="54">
        <v>12</v>
      </c>
      <c r="D299" s="54">
        <v>13.7</v>
      </c>
      <c r="E299" s="54">
        <v>13.81</v>
      </c>
      <c r="F299" s="54">
        <v>13.88</v>
      </c>
      <c r="G299" s="54">
        <v>13.94</v>
      </c>
      <c r="H299" s="54">
        <v>14</v>
      </c>
      <c r="I299" s="54">
        <v>14.06</v>
      </c>
      <c r="J299" s="54">
        <v>14.12</v>
      </c>
      <c r="K299" s="54">
        <v>14.19</v>
      </c>
      <c r="L299" s="54">
        <v>14.22</v>
      </c>
      <c r="M299" s="54">
        <v>14.36</v>
      </c>
      <c r="N299" s="54">
        <v>14.49</v>
      </c>
      <c r="O299" s="55"/>
      <c r="P299" s="56"/>
      <c r="Q299" s="56"/>
      <c r="R299" s="56"/>
      <c r="S299" s="56"/>
      <c r="T299" s="57"/>
    </row>
    <row r="300" spans="1:20" ht="13.5" customHeight="1" x14ac:dyDescent="0.2">
      <c r="A300" s="53">
        <v>1703</v>
      </c>
      <c r="B300" s="54" t="s">
        <v>359</v>
      </c>
      <c r="C300" s="54">
        <v>12</v>
      </c>
      <c r="D300" s="54">
        <v>27.53</v>
      </c>
      <c r="E300" s="54">
        <v>27.78</v>
      </c>
      <c r="F300" s="54">
        <v>27.89</v>
      </c>
      <c r="G300" s="54">
        <v>28.02</v>
      </c>
      <c r="H300" s="54">
        <v>28.14</v>
      </c>
      <c r="I300" s="54">
        <v>28.27</v>
      </c>
      <c r="J300" s="54">
        <v>28.39</v>
      </c>
      <c r="K300" s="54">
        <v>28.51</v>
      </c>
      <c r="L300" s="54">
        <v>28.58</v>
      </c>
      <c r="M300" s="54">
        <v>28.85</v>
      </c>
      <c r="N300" s="54">
        <v>29.13</v>
      </c>
      <c r="O300" s="55"/>
      <c r="P300" s="56"/>
      <c r="Q300" s="56"/>
      <c r="R300" s="56"/>
      <c r="S300" s="56"/>
      <c r="T300" s="57"/>
    </row>
    <row r="301" spans="1:20" ht="13.5" customHeight="1" x14ac:dyDescent="0.2">
      <c r="A301" s="53">
        <v>1705</v>
      </c>
      <c r="B301" s="54" t="s">
        <v>360</v>
      </c>
      <c r="C301" s="54">
        <v>12</v>
      </c>
      <c r="D301" s="54">
        <v>14.09</v>
      </c>
      <c r="E301" s="54">
        <v>14.22</v>
      </c>
      <c r="F301" s="54">
        <v>14.28</v>
      </c>
      <c r="G301" s="54">
        <v>14.35</v>
      </c>
      <c r="H301" s="54">
        <v>14.41</v>
      </c>
      <c r="I301" s="54">
        <v>14.47</v>
      </c>
      <c r="J301" s="54">
        <v>14.54</v>
      </c>
      <c r="K301" s="54">
        <v>14.6</v>
      </c>
      <c r="L301" s="54">
        <v>14.63</v>
      </c>
      <c r="M301" s="54">
        <v>14.77</v>
      </c>
      <c r="N301" s="54">
        <v>14.91</v>
      </c>
      <c r="O301" s="55"/>
      <c r="P301" s="56"/>
      <c r="Q301" s="56"/>
      <c r="R301" s="56"/>
      <c r="S301" s="56"/>
      <c r="T301" s="57"/>
    </row>
    <row r="302" spans="1:20" ht="13.5" customHeight="1" x14ac:dyDescent="0.2">
      <c r="A302" s="53">
        <v>1706</v>
      </c>
      <c r="B302" s="54" t="s">
        <v>361</v>
      </c>
      <c r="C302" s="54">
        <v>12</v>
      </c>
      <c r="D302" s="54">
        <v>19.05</v>
      </c>
      <c r="E302" s="54">
        <v>19.22</v>
      </c>
      <c r="F302" s="54">
        <v>19.309999999999999</v>
      </c>
      <c r="G302" s="54">
        <v>19.39</v>
      </c>
      <c r="H302" s="54">
        <v>19.48</v>
      </c>
      <c r="I302" s="54">
        <v>19.559999999999999</v>
      </c>
      <c r="J302" s="54">
        <v>19.649999999999999</v>
      </c>
      <c r="K302" s="54">
        <v>19.73</v>
      </c>
      <c r="L302" s="54">
        <v>19.79</v>
      </c>
      <c r="M302" s="54">
        <v>19.98</v>
      </c>
      <c r="N302" s="54">
        <v>20.16</v>
      </c>
      <c r="O302" s="55"/>
      <c r="P302" s="56"/>
      <c r="Q302" s="56"/>
      <c r="R302" s="56"/>
      <c r="S302" s="56"/>
      <c r="T302" s="57"/>
    </row>
    <row r="303" spans="1:20" ht="13.5" customHeight="1" x14ac:dyDescent="0.2">
      <c r="A303" s="53">
        <v>1707</v>
      </c>
      <c r="B303" s="54" t="s">
        <v>362</v>
      </c>
      <c r="C303" s="54">
        <v>12</v>
      </c>
      <c r="D303" s="54">
        <v>22.11</v>
      </c>
      <c r="E303" s="54">
        <v>22.31</v>
      </c>
      <c r="F303" s="54">
        <v>22.41</v>
      </c>
      <c r="G303" s="54">
        <v>22.5</v>
      </c>
      <c r="H303" s="54">
        <v>22.61</v>
      </c>
      <c r="I303" s="54">
        <v>22.71</v>
      </c>
      <c r="J303" s="54">
        <v>22.8</v>
      </c>
      <c r="K303" s="54">
        <v>22.91</v>
      </c>
      <c r="L303" s="54">
        <v>22.96</v>
      </c>
      <c r="M303" s="54">
        <v>23.17</v>
      </c>
      <c r="N303" s="54">
        <v>23.4</v>
      </c>
      <c r="O303" s="55"/>
      <c r="P303" s="56"/>
      <c r="Q303" s="56"/>
      <c r="R303" s="56"/>
      <c r="S303" s="56"/>
      <c r="T303" s="57"/>
    </row>
    <row r="304" spans="1:20" ht="13.5" customHeight="1" x14ac:dyDescent="0.2">
      <c r="A304" s="53">
        <v>1708</v>
      </c>
      <c r="B304" s="54" t="s">
        <v>363</v>
      </c>
      <c r="C304" s="54">
        <v>12</v>
      </c>
      <c r="D304" s="54">
        <v>20.65</v>
      </c>
      <c r="E304" s="54">
        <v>20.83</v>
      </c>
      <c r="F304" s="54">
        <v>20.92</v>
      </c>
      <c r="G304" s="54">
        <v>21.01</v>
      </c>
      <c r="H304" s="54">
        <v>21.11</v>
      </c>
      <c r="I304" s="54">
        <v>21.2</v>
      </c>
      <c r="J304" s="54">
        <v>21.29</v>
      </c>
      <c r="K304" s="54">
        <v>21.39</v>
      </c>
      <c r="L304" s="54">
        <v>21.44</v>
      </c>
      <c r="M304" s="54">
        <v>21.64</v>
      </c>
      <c r="N304" s="54">
        <v>21.85</v>
      </c>
      <c r="O304" s="55"/>
      <c r="P304" s="56"/>
      <c r="Q304" s="56"/>
      <c r="R304" s="56"/>
      <c r="S304" s="56"/>
      <c r="T304" s="57"/>
    </row>
    <row r="305" spans="1:20" ht="13.5" customHeight="1" x14ac:dyDescent="0.2">
      <c r="A305" s="53">
        <v>1709</v>
      </c>
      <c r="B305" s="54" t="s">
        <v>364</v>
      </c>
      <c r="C305" s="54">
        <v>24</v>
      </c>
      <c r="D305" s="54">
        <v>15.04</v>
      </c>
      <c r="E305" s="54">
        <v>15.18</v>
      </c>
      <c r="F305" s="54">
        <v>15.24</v>
      </c>
      <c r="G305" s="54">
        <v>15.3</v>
      </c>
      <c r="H305" s="54">
        <v>15.38</v>
      </c>
      <c r="I305" s="54">
        <v>15.44</v>
      </c>
      <c r="J305" s="54">
        <v>15.51</v>
      </c>
      <c r="K305" s="54">
        <v>15.58</v>
      </c>
      <c r="L305" s="54">
        <v>15.61</v>
      </c>
      <c r="M305" s="54">
        <v>15.76</v>
      </c>
      <c r="N305" s="54">
        <v>15.91</v>
      </c>
      <c r="O305" s="55"/>
      <c r="P305" s="56"/>
      <c r="Q305" s="56"/>
      <c r="R305" s="56"/>
      <c r="S305" s="56"/>
      <c r="T305" s="57"/>
    </row>
    <row r="306" spans="1:20" ht="13.5" customHeight="1" x14ac:dyDescent="0.2">
      <c r="A306" s="53">
        <v>1716</v>
      </c>
      <c r="B306" s="54" t="s">
        <v>365</v>
      </c>
      <c r="C306" s="54">
        <v>12</v>
      </c>
      <c r="D306" s="54">
        <v>9</v>
      </c>
      <c r="E306" s="54">
        <v>9.08</v>
      </c>
      <c r="F306" s="54">
        <v>9.1199999999999992</v>
      </c>
      <c r="G306" s="54">
        <v>9.16</v>
      </c>
      <c r="H306" s="54">
        <v>9.1999999999999993</v>
      </c>
      <c r="I306" s="54">
        <v>9.24</v>
      </c>
      <c r="J306" s="54">
        <v>9.2799999999999994</v>
      </c>
      <c r="K306" s="54">
        <v>9.32</v>
      </c>
      <c r="L306" s="54">
        <v>9.34</v>
      </c>
      <c r="M306" s="54">
        <v>9.43</v>
      </c>
      <c r="N306" s="54">
        <v>9.52</v>
      </c>
      <c r="O306" s="55"/>
      <c r="P306" s="56"/>
      <c r="Q306" s="56"/>
      <c r="R306" s="56"/>
      <c r="S306" s="56"/>
      <c r="T306" s="57"/>
    </row>
    <row r="307" spans="1:20" ht="13.5" customHeight="1" x14ac:dyDescent="0.2">
      <c r="A307" s="53">
        <v>1723</v>
      </c>
      <c r="B307" s="54" t="s">
        <v>366</v>
      </c>
      <c r="C307" s="54">
        <v>24</v>
      </c>
      <c r="D307" s="54">
        <v>12.86</v>
      </c>
      <c r="E307" s="54">
        <v>12.97</v>
      </c>
      <c r="F307" s="54">
        <v>13.03</v>
      </c>
      <c r="G307" s="54">
        <v>13.09</v>
      </c>
      <c r="H307" s="54">
        <v>13.15</v>
      </c>
      <c r="I307" s="54">
        <v>13.2</v>
      </c>
      <c r="J307" s="54">
        <v>13.26</v>
      </c>
      <c r="K307" s="54">
        <v>13.32</v>
      </c>
      <c r="L307" s="54">
        <v>13.35</v>
      </c>
      <c r="M307" s="54">
        <v>13.48</v>
      </c>
      <c r="N307" s="54">
        <v>13.61</v>
      </c>
      <c r="O307" s="55"/>
      <c r="P307" s="56"/>
      <c r="Q307" s="56"/>
      <c r="R307" s="56"/>
      <c r="S307" s="56"/>
      <c r="T307" s="57"/>
    </row>
    <row r="308" spans="1:20" ht="13.5" customHeight="1" x14ac:dyDescent="0.2">
      <c r="A308" s="53">
        <v>1724</v>
      </c>
      <c r="B308" s="54" t="s">
        <v>367</v>
      </c>
      <c r="C308" s="54">
        <v>12</v>
      </c>
      <c r="D308" s="54">
        <v>12.74</v>
      </c>
      <c r="E308" s="54">
        <v>12.86</v>
      </c>
      <c r="F308" s="54">
        <v>12.91</v>
      </c>
      <c r="G308" s="54">
        <v>12.97</v>
      </c>
      <c r="H308" s="54">
        <v>13.03</v>
      </c>
      <c r="I308" s="54">
        <v>13.08</v>
      </c>
      <c r="J308" s="54">
        <v>13.14</v>
      </c>
      <c r="K308" s="54">
        <v>13.2</v>
      </c>
      <c r="L308" s="54">
        <v>13.23</v>
      </c>
      <c r="M308" s="54">
        <v>13.36</v>
      </c>
      <c r="N308" s="54">
        <v>13.48</v>
      </c>
      <c r="O308" s="55"/>
      <c r="P308" s="56"/>
      <c r="Q308" s="56"/>
      <c r="R308" s="56"/>
      <c r="S308" s="56"/>
      <c r="T308" s="57"/>
    </row>
    <row r="309" spans="1:20" ht="13.5" customHeight="1" x14ac:dyDescent="0.2">
      <c r="A309" s="53">
        <v>1725</v>
      </c>
      <c r="B309" s="54" t="s">
        <v>368</v>
      </c>
      <c r="C309" s="54">
        <v>12</v>
      </c>
      <c r="D309" s="54">
        <v>8.09</v>
      </c>
      <c r="E309" s="54">
        <v>8.16</v>
      </c>
      <c r="F309" s="54">
        <v>8.1999999999999993</v>
      </c>
      <c r="G309" s="54">
        <v>8.23</v>
      </c>
      <c r="H309" s="54">
        <v>8.26</v>
      </c>
      <c r="I309" s="54">
        <v>8.31</v>
      </c>
      <c r="J309" s="54">
        <v>8.34</v>
      </c>
      <c r="K309" s="54">
        <v>8.3800000000000008</v>
      </c>
      <c r="L309" s="54">
        <v>8.4</v>
      </c>
      <c r="M309" s="54">
        <v>8.48</v>
      </c>
      <c r="N309" s="54">
        <v>8.56</v>
      </c>
      <c r="O309" s="55"/>
      <c r="P309" s="56"/>
      <c r="Q309" s="56"/>
      <c r="R309" s="56"/>
      <c r="S309" s="56"/>
      <c r="T309" s="57"/>
    </row>
    <row r="310" spans="1:20" ht="13.5" customHeight="1" x14ac:dyDescent="0.2">
      <c r="A310" s="53">
        <v>1726</v>
      </c>
      <c r="B310" s="54" t="s">
        <v>361</v>
      </c>
      <c r="C310" s="54">
        <v>12</v>
      </c>
      <c r="D310" s="54">
        <v>10.83</v>
      </c>
      <c r="E310" s="54">
        <v>10.93</v>
      </c>
      <c r="F310" s="54">
        <v>10.97</v>
      </c>
      <c r="G310" s="54">
        <v>11.02</v>
      </c>
      <c r="H310" s="54">
        <v>11.08</v>
      </c>
      <c r="I310" s="54">
        <v>11.12</v>
      </c>
      <c r="J310" s="54">
        <v>11.17</v>
      </c>
      <c r="K310" s="54">
        <v>11.21</v>
      </c>
      <c r="L310" s="54">
        <v>11.25</v>
      </c>
      <c r="M310" s="54">
        <v>11.35</v>
      </c>
      <c r="N310" s="54">
        <v>11.46</v>
      </c>
      <c r="O310" s="55"/>
      <c r="P310" s="56"/>
      <c r="Q310" s="56"/>
      <c r="R310" s="56"/>
      <c r="S310" s="56"/>
      <c r="T310" s="57"/>
    </row>
    <row r="311" spans="1:20" ht="13.5" customHeight="1" x14ac:dyDescent="0.2">
      <c r="A311" s="53">
        <v>1728</v>
      </c>
      <c r="B311" s="54" t="s">
        <v>369</v>
      </c>
      <c r="C311" s="54">
        <v>15</v>
      </c>
      <c r="D311" s="54">
        <v>5.47</v>
      </c>
      <c r="E311" s="54">
        <v>5.52</v>
      </c>
      <c r="F311" s="54">
        <v>5.54</v>
      </c>
      <c r="G311" s="54">
        <v>5.57</v>
      </c>
      <c r="H311" s="54">
        <v>5.59</v>
      </c>
      <c r="I311" s="54">
        <v>5.61</v>
      </c>
      <c r="J311" s="54">
        <v>5.64</v>
      </c>
      <c r="K311" s="54">
        <v>5.67</v>
      </c>
      <c r="L311" s="54">
        <v>5.68</v>
      </c>
      <c r="M311" s="54">
        <v>5.73</v>
      </c>
      <c r="N311" s="54">
        <v>5.78</v>
      </c>
      <c r="O311" s="55"/>
      <c r="P311" s="56"/>
      <c r="Q311" s="56"/>
      <c r="R311" s="56"/>
      <c r="S311" s="56"/>
      <c r="T311" s="57"/>
    </row>
    <row r="312" spans="1:20" ht="13.5" customHeight="1" x14ac:dyDescent="0.2">
      <c r="A312" s="53">
        <v>1730</v>
      </c>
      <c r="B312" s="54" t="s">
        <v>370</v>
      </c>
      <c r="C312" s="54">
        <v>12</v>
      </c>
      <c r="D312" s="54">
        <v>7.67</v>
      </c>
      <c r="E312" s="54">
        <v>7.73</v>
      </c>
      <c r="F312" s="54">
        <v>7.77</v>
      </c>
      <c r="G312" s="54">
        <v>7.8</v>
      </c>
      <c r="H312" s="54">
        <v>7.84</v>
      </c>
      <c r="I312" s="54">
        <v>7.87</v>
      </c>
      <c r="J312" s="54">
        <v>7.9</v>
      </c>
      <c r="K312" s="54">
        <v>7.94</v>
      </c>
      <c r="L312" s="54">
        <v>7.96</v>
      </c>
      <c r="M312" s="54">
        <v>8.0299999999999994</v>
      </c>
      <c r="N312" s="54">
        <v>8.11</v>
      </c>
      <c r="O312" s="55"/>
      <c r="P312" s="56"/>
      <c r="Q312" s="56"/>
      <c r="R312" s="56"/>
      <c r="S312" s="56"/>
      <c r="T312" s="57"/>
    </row>
    <row r="313" spans="1:20" ht="13.5" customHeight="1" x14ac:dyDescent="0.2">
      <c r="A313" s="53">
        <v>1739</v>
      </c>
      <c r="B313" s="54" t="s">
        <v>371</v>
      </c>
      <c r="C313" s="54">
        <v>12</v>
      </c>
      <c r="D313" s="54">
        <v>4.05</v>
      </c>
      <c r="E313" s="54">
        <v>4.08</v>
      </c>
      <c r="F313" s="54">
        <v>4.0999999999999996</v>
      </c>
      <c r="G313" s="54">
        <v>4.1100000000000003</v>
      </c>
      <c r="H313" s="54">
        <v>4.13</v>
      </c>
      <c r="I313" s="54">
        <v>4.1500000000000004</v>
      </c>
      <c r="J313" s="54">
        <v>4.17</v>
      </c>
      <c r="K313" s="54">
        <v>4.1900000000000004</v>
      </c>
      <c r="L313" s="54">
        <v>4.2</v>
      </c>
      <c r="M313" s="54">
        <v>4.24</v>
      </c>
      <c r="N313" s="54">
        <v>4.28</v>
      </c>
      <c r="O313" s="55"/>
      <c r="P313" s="56"/>
      <c r="Q313" s="56"/>
      <c r="R313" s="56"/>
      <c r="S313" s="56"/>
      <c r="T313" s="57"/>
    </row>
    <row r="314" spans="1:20" ht="13.5" customHeight="1" x14ac:dyDescent="0.2">
      <c r="A314" s="53" t="s">
        <v>372</v>
      </c>
      <c r="B314" s="54" t="s">
        <v>373</v>
      </c>
      <c r="C314" s="54">
        <v>12</v>
      </c>
      <c r="D314" s="54">
        <v>6.02</v>
      </c>
      <c r="E314" s="54">
        <v>6.07</v>
      </c>
      <c r="F314" s="54">
        <v>6.1</v>
      </c>
      <c r="G314" s="54">
        <v>6.12</v>
      </c>
      <c r="H314" s="54">
        <v>6.16</v>
      </c>
      <c r="I314" s="54">
        <v>6.18</v>
      </c>
      <c r="J314" s="54">
        <v>6.21</v>
      </c>
      <c r="K314" s="54">
        <v>6.23</v>
      </c>
      <c r="L314" s="54">
        <v>6.25</v>
      </c>
      <c r="M314" s="54">
        <v>6.3</v>
      </c>
      <c r="N314" s="54">
        <v>6.37</v>
      </c>
      <c r="O314" s="55"/>
      <c r="P314" s="56"/>
      <c r="Q314" s="56"/>
      <c r="R314" s="56"/>
      <c r="S314" s="56"/>
      <c r="T314" s="57"/>
    </row>
    <row r="315" spans="1:20" ht="13.5" customHeight="1" x14ac:dyDescent="0.2">
      <c r="A315" s="53">
        <v>1742</v>
      </c>
      <c r="B315" s="54" t="s">
        <v>374</v>
      </c>
      <c r="C315" s="54">
        <v>6</v>
      </c>
      <c r="D315" s="54">
        <v>32.770000000000003</v>
      </c>
      <c r="E315" s="54">
        <v>33.06</v>
      </c>
      <c r="F315" s="54">
        <v>33.200000000000003</v>
      </c>
      <c r="G315" s="54">
        <v>33.35</v>
      </c>
      <c r="H315" s="54">
        <v>33.49</v>
      </c>
      <c r="I315" s="54">
        <v>33.64</v>
      </c>
      <c r="J315" s="54">
        <v>33.79</v>
      </c>
      <c r="K315" s="54">
        <v>33.94</v>
      </c>
      <c r="L315" s="54">
        <v>34.03</v>
      </c>
      <c r="M315" s="54">
        <v>34.35</v>
      </c>
      <c r="N315" s="54">
        <v>34.67</v>
      </c>
      <c r="O315" s="55"/>
      <c r="P315" s="56"/>
      <c r="Q315" s="56"/>
      <c r="R315" s="56"/>
      <c r="S315" s="56"/>
      <c r="T315" s="57"/>
    </row>
    <row r="316" spans="1:20" ht="13.5" customHeight="1" x14ac:dyDescent="0.2">
      <c r="A316" s="53">
        <v>1745</v>
      </c>
      <c r="B316" s="54" t="s">
        <v>375</v>
      </c>
      <c r="C316" s="54">
        <v>1</v>
      </c>
      <c r="D316" s="54">
        <v>50.73</v>
      </c>
      <c r="E316" s="54">
        <v>51.17</v>
      </c>
      <c r="F316" s="54">
        <v>51.4</v>
      </c>
      <c r="G316" s="54">
        <v>51.62</v>
      </c>
      <c r="H316" s="54">
        <v>51.85</v>
      </c>
      <c r="I316" s="54">
        <v>52.08</v>
      </c>
      <c r="J316" s="54">
        <v>52.31</v>
      </c>
      <c r="K316" s="54">
        <v>52.54</v>
      </c>
      <c r="L316" s="54">
        <v>52.67</v>
      </c>
      <c r="M316" s="54">
        <v>53.16</v>
      </c>
      <c r="N316" s="54">
        <v>53.68</v>
      </c>
      <c r="O316" s="55"/>
      <c r="P316" s="56"/>
      <c r="Q316" s="56"/>
      <c r="R316" s="56"/>
      <c r="S316" s="56"/>
      <c r="T316" s="57"/>
    </row>
    <row r="317" spans="1:20" ht="13.5" customHeight="1" x14ac:dyDescent="0.2">
      <c r="A317" s="53">
        <v>1747</v>
      </c>
      <c r="B317" s="54" t="s">
        <v>376</v>
      </c>
      <c r="C317" s="54">
        <v>1</v>
      </c>
      <c r="D317" s="54">
        <v>677.61</v>
      </c>
      <c r="E317" s="54">
        <v>683.58</v>
      </c>
      <c r="F317" s="54">
        <v>686.59</v>
      </c>
      <c r="G317" s="54">
        <v>689.61</v>
      </c>
      <c r="H317" s="54">
        <v>692.64</v>
      </c>
      <c r="I317" s="54">
        <v>695.7</v>
      </c>
      <c r="J317" s="54">
        <v>698.76</v>
      </c>
      <c r="K317" s="54">
        <v>701.84</v>
      </c>
      <c r="L317" s="54">
        <v>703.6</v>
      </c>
      <c r="M317" s="54">
        <v>710.25</v>
      </c>
      <c r="N317" s="54">
        <v>716.97</v>
      </c>
      <c r="O317" s="55"/>
      <c r="P317" s="56"/>
      <c r="Q317" s="56"/>
      <c r="R317" s="56"/>
      <c r="S317" s="56"/>
      <c r="T317" s="57"/>
    </row>
    <row r="318" spans="1:20" ht="13.5" customHeight="1" x14ac:dyDescent="0.2">
      <c r="A318" s="53">
        <v>1800</v>
      </c>
      <c r="B318" s="54" t="s">
        <v>377</v>
      </c>
      <c r="C318" s="54">
        <v>6</v>
      </c>
      <c r="D318" s="54">
        <v>10.130000000000001</v>
      </c>
      <c r="E318" s="54">
        <v>10.220000000000001</v>
      </c>
      <c r="F318" s="54">
        <v>10.27</v>
      </c>
      <c r="G318" s="54">
        <v>10.31</v>
      </c>
      <c r="H318" s="54">
        <v>10.35</v>
      </c>
      <c r="I318" s="54">
        <v>10.41</v>
      </c>
      <c r="J318" s="54">
        <v>10.45</v>
      </c>
      <c r="K318" s="54">
        <v>10.49</v>
      </c>
      <c r="L318" s="54">
        <v>10.52</v>
      </c>
      <c r="M318" s="54">
        <v>10.62</v>
      </c>
      <c r="N318" s="54">
        <v>10.72</v>
      </c>
      <c r="O318" s="55"/>
      <c r="P318" s="56"/>
      <c r="Q318" s="56"/>
      <c r="R318" s="56"/>
      <c r="S318" s="56"/>
      <c r="T318" s="57"/>
    </row>
    <row r="319" spans="1:20" ht="13.5" customHeight="1" x14ac:dyDescent="0.2">
      <c r="A319" s="53">
        <v>1801</v>
      </c>
      <c r="B319" s="54" t="s">
        <v>378</v>
      </c>
      <c r="C319" s="54">
        <v>6</v>
      </c>
      <c r="D319" s="54">
        <v>23.17</v>
      </c>
      <c r="E319" s="54">
        <v>23.38</v>
      </c>
      <c r="F319" s="54">
        <v>23.47</v>
      </c>
      <c r="G319" s="54">
        <v>23.58</v>
      </c>
      <c r="H319" s="54">
        <v>23.69</v>
      </c>
      <c r="I319" s="54">
        <v>23.79</v>
      </c>
      <c r="J319" s="54">
        <v>23.89</v>
      </c>
      <c r="K319" s="54">
        <v>23.99</v>
      </c>
      <c r="L319" s="54">
        <v>24.06</v>
      </c>
      <c r="M319" s="54">
        <v>24.28</v>
      </c>
      <c r="N319" s="54">
        <v>24.52</v>
      </c>
      <c r="O319" s="55"/>
      <c r="P319" s="56"/>
      <c r="Q319" s="56"/>
      <c r="R319" s="56"/>
      <c r="S319" s="56"/>
      <c r="T319" s="57"/>
    </row>
    <row r="320" spans="1:20" ht="13.5" customHeight="1" x14ac:dyDescent="0.2">
      <c r="A320" s="53">
        <v>1802</v>
      </c>
      <c r="B320" s="54" t="s">
        <v>379</v>
      </c>
      <c r="C320" s="54">
        <v>6</v>
      </c>
      <c r="D320" s="54">
        <v>25.91</v>
      </c>
      <c r="E320" s="54">
        <v>26.14</v>
      </c>
      <c r="F320" s="54">
        <v>26.25</v>
      </c>
      <c r="G320" s="54">
        <v>26.37</v>
      </c>
      <c r="H320" s="54">
        <v>26.49</v>
      </c>
      <c r="I320" s="54">
        <v>26.6</v>
      </c>
      <c r="J320" s="54">
        <v>26.72</v>
      </c>
      <c r="K320" s="54">
        <v>26.84</v>
      </c>
      <c r="L320" s="54">
        <v>26.9</v>
      </c>
      <c r="M320" s="54">
        <v>27.16</v>
      </c>
      <c r="N320" s="54">
        <v>27.41</v>
      </c>
      <c r="O320" s="55"/>
      <c r="P320" s="56"/>
      <c r="Q320" s="56"/>
      <c r="R320" s="56"/>
      <c r="S320" s="56"/>
      <c r="T320" s="57"/>
    </row>
    <row r="321" spans="1:20" ht="13.5" customHeight="1" x14ac:dyDescent="0.2">
      <c r="A321" s="53">
        <v>1803</v>
      </c>
      <c r="B321" s="54" t="s">
        <v>380</v>
      </c>
      <c r="C321" s="54">
        <v>6</v>
      </c>
      <c r="D321" s="54">
        <v>23.24</v>
      </c>
      <c r="E321" s="54">
        <v>23.44</v>
      </c>
      <c r="F321" s="54">
        <v>23.55</v>
      </c>
      <c r="G321" s="54">
        <v>23.65</v>
      </c>
      <c r="H321" s="54">
        <v>23.75</v>
      </c>
      <c r="I321" s="54">
        <v>23.86</v>
      </c>
      <c r="J321" s="54">
        <v>23.96</v>
      </c>
      <c r="K321" s="54">
        <v>24.07</v>
      </c>
      <c r="L321" s="54">
        <v>24.13</v>
      </c>
      <c r="M321" s="54">
        <v>24.36</v>
      </c>
      <c r="N321" s="54">
        <v>24.59</v>
      </c>
      <c r="O321" s="55"/>
      <c r="P321" s="56"/>
      <c r="Q321" s="56"/>
      <c r="R321" s="56"/>
      <c r="S321" s="56"/>
      <c r="T321" s="57"/>
    </row>
    <row r="322" spans="1:20" ht="13.5" customHeight="1" x14ac:dyDescent="0.2">
      <c r="A322" s="53">
        <v>1805</v>
      </c>
      <c r="B322" s="54" t="s">
        <v>381</v>
      </c>
      <c r="C322" s="54">
        <v>24</v>
      </c>
      <c r="D322" s="54">
        <v>1.77</v>
      </c>
      <c r="E322" s="54">
        <v>1.79</v>
      </c>
      <c r="F322" s="54">
        <v>1.79</v>
      </c>
      <c r="G322" s="54">
        <v>1.8</v>
      </c>
      <c r="H322" s="54">
        <v>1.81</v>
      </c>
      <c r="I322" s="54">
        <v>1.81</v>
      </c>
      <c r="J322" s="54">
        <v>1.82</v>
      </c>
      <c r="K322" s="54">
        <v>1.83</v>
      </c>
      <c r="L322" s="54">
        <v>1.83</v>
      </c>
      <c r="M322" s="54">
        <v>1.85</v>
      </c>
      <c r="N322" s="54">
        <v>1.87</v>
      </c>
      <c r="O322" s="55"/>
      <c r="P322" s="56"/>
      <c r="Q322" s="56"/>
      <c r="R322" s="56"/>
      <c r="S322" s="56"/>
      <c r="T322" s="57"/>
    </row>
    <row r="323" spans="1:20" ht="13.5" customHeight="1" x14ac:dyDescent="0.2">
      <c r="A323" s="53" t="s">
        <v>382</v>
      </c>
      <c r="B323" s="54" t="s">
        <v>381</v>
      </c>
      <c r="C323" s="54">
        <v>24</v>
      </c>
      <c r="D323" s="54">
        <v>0</v>
      </c>
      <c r="E323" s="54">
        <v>0</v>
      </c>
      <c r="F323" s="54">
        <v>0</v>
      </c>
      <c r="G323" s="54">
        <v>0</v>
      </c>
      <c r="H323" s="54">
        <v>0</v>
      </c>
      <c r="I323" s="54">
        <v>0</v>
      </c>
      <c r="J323" s="54">
        <v>0</v>
      </c>
      <c r="K323" s="54">
        <v>0</v>
      </c>
      <c r="L323" s="54">
        <v>0</v>
      </c>
      <c r="M323" s="54">
        <v>0</v>
      </c>
      <c r="N323" s="54">
        <v>0</v>
      </c>
      <c r="O323" s="55"/>
      <c r="P323" s="56"/>
      <c r="Q323" s="56"/>
      <c r="R323" s="56"/>
      <c r="S323" s="56"/>
      <c r="T323" s="57"/>
    </row>
    <row r="324" spans="1:20" ht="13.5" customHeight="1" x14ac:dyDescent="0.2">
      <c r="A324" s="53">
        <v>1806</v>
      </c>
      <c r="B324" s="54" t="s">
        <v>383</v>
      </c>
      <c r="C324" s="54">
        <v>6</v>
      </c>
      <c r="D324" s="54">
        <v>10.23</v>
      </c>
      <c r="E324" s="54">
        <v>10.32</v>
      </c>
      <c r="F324" s="54">
        <v>10.37</v>
      </c>
      <c r="G324" s="54">
        <v>10.42</v>
      </c>
      <c r="H324" s="54">
        <v>10.46</v>
      </c>
      <c r="I324" s="54">
        <v>10.51</v>
      </c>
      <c r="J324" s="54">
        <v>10.55</v>
      </c>
      <c r="K324" s="54">
        <v>10.6</v>
      </c>
      <c r="L324" s="54">
        <v>10.63</v>
      </c>
      <c r="M324" s="54">
        <v>10.73</v>
      </c>
      <c r="N324" s="54">
        <v>10.83</v>
      </c>
      <c r="O324" s="55"/>
      <c r="P324" s="56"/>
      <c r="Q324" s="56"/>
      <c r="R324" s="56"/>
      <c r="S324" s="56"/>
      <c r="T324" s="57"/>
    </row>
    <row r="325" spans="1:20" ht="13.5" customHeight="1" x14ac:dyDescent="0.2">
      <c r="A325" s="53">
        <v>1808</v>
      </c>
      <c r="B325" s="54" t="s">
        <v>384</v>
      </c>
      <c r="C325" s="54">
        <v>6</v>
      </c>
      <c r="D325" s="54">
        <v>24.47</v>
      </c>
      <c r="E325" s="54">
        <v>24.69</v>
      </c>
      <c r="F325" s="54">
        <v>24.79</v>
      </c>
      <c r="G325" s="54">
        <v>24.91</v>
      </c>
      <c r="H325" s="54">
        <v>25.02</v>
      </c>
      <c r="I325" s="54">
        <v>25.12</v>
      </c>
      <c r="J325" s="54">
        <v>25.24</v>
      </c>
      <c r="K325" s="54">
        <v>25.35</v>
      </c>
      <c r="L325" s="54">
        <v>25.41</v>
      </c>
      <c r="M325" s="54">
        <v>25.66</v>
      </c>
      <c r="N325" s="54">
        <v>25.89</v>
      </c>
      <c r="O325" s="55"/>
      <c r="P325" s="56"/>
      <c r="Q325" s="56"/>
      <c r="R325" s="56"/>
      <c r="S325" s="56"/>
      <c r="T325" s="57"/>
    </row>
    <row r="326" spans="1:20" ht="13.5" customHeight="1" x14ac:dyDescent="0.2">
      <c r="A326" s="53">
        <v>1810</v>
      </c>
      <c r="B326" s="54" t="s">
        <v>385</v>
      </c>
      <c r="C326" s="54">
        <v>6</v>
      </c>
      <c r="D326" s="54">
        <v>20.43</v>
      </c>
      <c r="E326" s="54">
        <v>20.61</v>
      </c>
      <c r="F326" s="54">
        <v>20.7</v>
      </c>
      <c r="G326" s="54">
        <v>20.79</v>
      </c>
      <c r="H326" s="54">
        <v>20.88</v>
      </c>
      <c r="I326" s="54">
        <v>20.97</v>
      </c>
      <c r="J326" s="54">
        <v>21.07</v>
      </c>
      <c r="K326" s="54">
        <v>21.16</v>
      </c>
      <c r="L326" s="54">
        <v>21.21</v>
      </c>
      <c r="M326" s="54">
        <v>21.41</v>
      </c>
      <c r="N326" s="54">
        <v>21.62</v>
      </c>
      <c r="O326" s="55"/>
      <c r="P326" s="56"/>
      <c r="Q326" s="56"/>
      <c r="R326" s="56"/>
      <c r="S326" s="56"/>
      <c r="T326" s="57"/>
    </row>
    <row r="327" spans="1:20" ht="13.5" customHeight="1" x14ac:dyDescent="0.2">
      <c r="A327" s="53">
        <v>1813</v>
      </c>
      <c r="B327" s="54" t="s">
        <v>386</v>
      </c>
      <c r="C327" s="54">
        <v>12</v>
      </c>
      <c r="D327" s="54">
        <v>5.0599999999999996</v>
      </c>
      <c r="E327" s="54">
        <v>5.0999999999999996</v>
      </c>
      <c r="F327" s="54">
        <v>5.12</v>
      </c>
      <c r="G327" s="54">
        <v>5.14</v>
      </c>
      <c r="H327" s="54">
        <v>5.18</v>
      </c>
      <c r="I327" s="54">
        <v>5.2</v>
      </c>
      <c r="J327" s="54">
        <v>5.22</v>
      </c>
      <c r="K327" s="54">
        <v>5.24</v>
      </c>
      <c r="L327" s="54">
        <v>5.25</v>
      </c>
      <c r="M327" s="54">
        <v>5.3</v>
      </c>
      <c r="N327" s="54">
        <v>5.36</v>
      </c>
      <c r="O327" s="55"/>
      <c r="P327" s="56"/>
      <c r="Q327" s="56"/>
      <c r="R327" s="56"/>
      <c r="S327" s="56"/>
      <c r="T327" s="57"/>
    </row>
    <row r="328" spans="1:20" ht="13.5" customHeight="1" x14ac:dyDescent="0.2">
      <c r="A328" s="53">
        <v>1816</v>
      </c>
      <c r="B328" s="54" t="s">
        <v>387</v>
      </c>
      <c r="C328" s="54">
        <v>1</v>
      </c>
      <c r="D328" s="54">
        <v>1151.6199999999999</v>
      </c>
      <c r="E328" s="54">
        <v>1161.78</v>
      </c>
      <c r="F328" s="54">
        <v>1166.8900000000001</v>
      </c>
      <c r="G328" s="54">
        <v>1172.03</v>
      </c>
      <c r="H328" s="54">
        <v>1177.19</v>
      </c>
      <c r="I328" s="54">
        <v>1182.3699999999999</v>
      </c>
      <c r="J328" s="54">
        <v>1187.57</v>
      </c>
      <c r="K328" s="54">
        <v>1192.8</v>
      </c>
      <c r="L328" s="54">
        <v>1195.79</v>
      </c>
      <c r="M328" s="54">
        <v>1207.0999999999999</v>
      </c>
      <c r="N328" s="54">
        <v>1218.52</v>
      </c>
      <c r="O328" s="55"/>
      <c r="P328" s="56"/>
      <c r="Q328" s="56"/>
      <c r="R328" s="56"/>
      <c r="S328" s="56"/>
      <c r="T328" s="57"/>
    </row>
    <row r="329" spans="1:20" ht="13.5" customHeight="1" x14ac:dyDescent="0.2">
      <c r="A329" s="53">
        <v>1818</v>
      </c>
      <c r="B329" s="54" t="s">
        <v>388</v>
      </c>
      <c r="C329" s="54">
        <v>6</v>
      </c>
      <c r="D329" s="54">
        <v>49.21</v>
      </c>
      <c r="E329" s="54">
        <v>49.65</v>
      </c>
      <c r="F329" s="54">
        <v>49.87</v>
      </c>
      <c r="G329" s="54">
        <v>50.09</v>
      </c>
      <c r="H329" s="54">
        <v>50.31</v>
      </c>
      <c r="I329" s="54">
        <v>50.53</v>
      </c>
      <c r="J329" s="54">
        <v>50.76</v>
      </c>
      <c r="K329" s="54">
        <v>50.98</v>
      </c>
      <c r="L329" s="54">
        <v>51.11</v>
      </c>
      <c r="M329" s="54">
        <v>51.59</v>
      </c>
      <c r="N329" s="54">
        <v>52.08</v>
      </c>
      <c r="O329" s="55"/>
      <c r="P329" s="56"/>
      <c r="Q329" s="56"/>
      <c r="R329" s="56"/>
      <c r="S329" s="56"/>
      <c r="T329" s="57"/>
    </row>
    <row r="330" spans="1:20" ht="13.5" customHeight="1" x14ac:dyDescent="0.2">
      <c r="A330" s="53">
        <v>1819</v>
      </c>
      <c r="B330" s="54" t="s">
        <v>389</v>
      </c>
      <c r="C330" s="54">
        <v>6</v>
      </c>
      <c r="D330" s="54">
        <v>46.58</v>
      </c>
      <c r="E330" s="54">
        <v>47</v>
      </c>
      <c r="F330" s="54">
        <v>47.2</v>
      </c>
      <c r="G330" s="54">
        <v>47.41</v>
      </c>
      <c r="H330" s="54">
        <v>47.62</v>
      </c>
      <c r="I330" s="54">
        <v>47.83</v>
      </c>
      <c r="J330" s="54">
        <v>48.04</v>
      </c>
      <c r="K330" s="54">
        <v>48.26</v>
      </c>
      <c r="L330" s="54">
        <v>48.37</v>
      </c>
      <c r="M330" s="54">
        <v>48.83</v>
      </c>
      <c r="N330" s="54">
        <v>49.29</v>
      </c>
      <c r="O330" s="55"/>
      <c r="P330" s="56"/>
      <c r="Q330" s="56"/>
      <c r="R330" s="56"/>
      <c r="S330" s="56"/>
      <c r="T330" s="57"/>
    </row>
    <row r="331" spans="1:20" ht="13.5" customHeight="1" x14ac:dyDescent="0.2">
      <c r="A331" s="53">
        <v>1820</v>
      </c>
      <c r="B331" s="54" t="s">
        <v>390</v>
      </c>
      <c r="C331" s="54">
        <v>12</v>
      </c>
      <c r="D331" s="54">
        <v>7.6</v>
      </c>
      <c r="E331" s="54">
        <v>7.66</v>
      </c>
      <c r="F331" s="54">
        <v>7.7</v>
      </c>
      <c r="G331" s="54">
        <v>7.73</v>
      </c>
      <c r="H331" s="54">
        <v>7.76</v>
      </c>
      <c r="I331" s="54">
        <v>7.8</v>
      </c>
      <c r="J331" s="54">
        <v>7.83</v>
      </c>
      <c r="K331" s="54">
        <v>7.87</v>
      </c>
      <c r="L331" s="54">
        <v>7.89</v>
      </c>
      <c r="M331" s="54">
        <v>7.96</v>
      </c>
      <c r="N331" s="54">
        <v>8.0399999999999991</v>
      </c>
      <c r="O331" s="55"/>
      <c r="P331" s="56"/>
      <c r="Q331" s="56"/>
      <c r="R331" s="56"/>
      <c r="S331" s="56"/>
      <c r="T331" s="57"/>
    </row>
    <row r="332" spans="1:20" ht="13.5" customHeight="1" x14ac:dyDescent="0.2">
      <c r="A332" s="53">
        <v>1821</v>
      </c>
      <c r="B332" s="54" t="s">
        <v>391</v>
      </c>
      <c r="C332" s="54">
        <v>12</v>
      </c>
      <c r="D332" s="54">
        <v>8.8800000000000008</v>
      </c>
      <c r="E332" s="54">
        <v>8.9600000000000009</v>
      </c>
      <c r="F332" s="54">
        <v>9</v>
      </c>
      <c r="G332" s="54">
        <v>9.0399999999999991</v>
      </c>
      <c r="H332" s="54">
        <v>9.08</v>
      </c>
      <c r="I332" s="54">
        <v>9.1199999999999992</v>
      </c>
      <c r="J332" s="54">
        <v>9.16</v>
      </c>
      <c r="K332" s="54">
        <v>9.1999999999999993</v>
      </c>
      <c r="L332" s="54">
        <v>9.2200000000000006</v>
      </c>
      <c r="M332" s="54">
        <v>9.31</v>
      </c>
      <c r="N332" s="54">
        <v>9.4</v>
      </c>
      <c r="O332" s="55"/>
      <c r="P332" s="56"/>
      <c r="Q332" s="56"/>
      <c r="R332" s="56"/>
      <c r="S332" s="56"/>
      <c r="T332" s="57"/>
    </row>
    <row r="333" spans="1:20" ht="13.5" customHeight="1" x14ac:dyDescent="0.2">
      <c r="A333" s="53">
        <v>1825</v>
      </c>
      <c r="B333" s="54" t="s">
        <v>392</v>
      </c>
      <c r="C333" s="54">
        <v>18</v>
      </c>
      <c r="D333" s="54">
        <v>1.77</v>
      </c>
      <c r="E333" s="54">
        <v>1.79</v>
      </c>
      <c r="F333" s="54">
        <v>1.79</v>
      </c>
      <c r="G333" s="54">
        <v>1.8</v>
      </c>
      <c r="H333" s="54">
        <v>1.81</v>
      </c>
      <c r="I333" s="54">
        <v>1.81</v>
      </c>
      <c r="J333" s="54">
        <v>1.82</v>
      </c>
      <c r="K333" s="54">
        <v>1.83</v>
      </c>
      <c r="L333" s="54">
        <v>1.83</v>
      </c>
      <c r="M333" s="54">
        <v>1.85</v>
      </c>
      <c r="N333" s="54">
        <v>1.87</v>
      </c>
      <c r="O333" s="55"/>
      <c r="P333" s="56"/>
      <c r="Q333" s="56"/>
      <c r="R333" s="56"/>
      <c r="S333" s="56"/>
      <c r="T333" s="57"/>
    </row>
    <row r="334" spans="1:20" ht="13.5" customHeight="1" x14ac:dyDescent="0.2">
      <c r="A334" s="53">
        <v>1826</v>
      </c>
      <c r="B334" s="54" t="s">
        <v>393</v>
      </c>
      <c r="C334" s="54">
        <v>18</v>
      </c>
      <c r="D334" s="54">
        <v>2.13</v>
      </c>
      <c r="E334" s="54">
        <v>2.14</v>
      </c>
      <c r="F334" s="54">
        <v>2.15</v>
      </c>
      <c r="G334" s="54">
        <v>2.16</v>
      </c>
      <c r="H334" s="54">
        <v>2.17</v>
      </c>
      <c r="I334" s="54">
        <v>2.1800000000000002</v>
      </c>
      <c r="J334" s="54">
        <v>2.19</v>
      </c>
      <c r="K334" s="54">
        <v>2.2000000000000002</v>
      </c>
      <c r="L334" s="54">
        <v>2.2000000000000002</v>
      </c>
      <c r="M334" s="54">
        <v>2.23</v>
      </c>
      <c r="N334" s="54">
        <v>2.25</v>
      </c>
      <c r="O334" s="55"/>
      <c r="P334" s="56"/>
      <c r="Q334" s="56"/>
      <c r="R334" s="56"/>
      <c r="S334" s="56"/>
      <c r="T334" s="57"/>
    </row>
    <row r="335" spans="1:20" ht="13.5" customHeight="1" x14ac:dyDescent="0.2">
      <c r="A335" s="53">
        <v>1827</v>
      </c>
      <c r="B335" s="54" t="s">
        <v>394</v>
      </c>
      <c r="C335" s="54">
        <v>18</v>
      </c>
      <c r="D335" s="54">
        <v>2.4500000000000002</v>
      </c>
      <c r="E335" s="54">
        <v>2.4700000000000002</v>
      </c>
      <c r="F335" s="54">
        <v>2.48</v>
      </c>
      <c r="G335" s="54">
        <v>2.5</v>
      </c>
      <c r="H335" s="54">
        <v>2.5099999999999998</v>
      </c>
      <c r="I335" s="54">
        <v>2.52</v>
      </c>
      <c r="J335" s="54">
        <v>2.5299999999999998</v>
      </c>
      <c r="K335" s="54">
        <v>2.5499999999999998</v>
      </c>
      <c r="L335" s="54">
        <v>2.5499999999999998</v>
      </c>
      <c r="M335" s="54">
        <v>2.58</v>
      </c>
      <c r="N335" s="54">
        <v>2.6</v>
      </c>
      <c r="O335" s="55"/>
      <c r="P335" s="56"/>
      <c r="Q335" s="56"/>
      <c r="R335" s="56"/>
      <c r="S335" s="56"/>
      <c r="T335" s="57"/>
    </row>
    <row r="336" spans="1:20" ht="13.5" customHeight="1" x14ac:dyDescent="0.2">
      <c r="A336" s="53">
        <v>1828</v>
      </c>
      <c r="B336" s="54" t="s">
        <v>395</v>
      </c>
      <c r="C336" s="54">
        <v>12</v>
      </c>
      <c r="D336" s="54">
        <v>4</v>
      </c>
      <c r="E336" s="54">
        <v>4.04</v>
      </c>
      <c r="F336" s="54">
        <v>4.0599999999999996</v>
      </c>
      <c r="G336" s="54">
        <v>4.08</v>
      </c>
      <c r="H336" s="54">
        <v>4.09</v>
      </c>
      <c r="I336" s="54">
        <v>4.1100000000000003</v>
      </c>
      <c r="J336" s="54">
        <v>4.13</v>
      </c>
      <c r="K336" s="54">
        <v>4.1399999999999997</v>
      </c>
      <c r="L336" s="54">
        <v>4.1500000000000004</v>
      </c>
      <c r="M336" s="54">
        <v>4.2</v>
      </c>
      <c r="N336" s="54">
        <v>4.24</v>
      </c>
      <c r="O336" s="55"/>
      <c r="P336" s="56"/>
      <c r="Q336" s="56"/>
      <c r="R336" s="56"/>
      <c r="S336" s="56"/>
      <c r="T336" s="57"/>
    </row>
    <row r="337" spans="1:20" ht="13.5" customHeight="1" x14ac:dyDescent="0.2">
      <c r="A337" s="53">
        <v>1829</v>
      </c>
      <c r="B337" s="54" t="s">
        <v>396</v>
      </c>
      <c r="C337" s="54">
        <v>12</v>
      </c>
      <c r="D337" s="54">
        <v>8.0500000000000007</v>
      </c>
      <c r="E337" s="54">
        <v>8.1199999999999992</v>
      </c>
      <c r="F337" s="54">
        <v>8.16</v>
      </c>
      <c r="G337" s="54">
        <v>8.19</v>
      </c>
      <c r="H337" s="54">
        <v>8.2200000000000006</v>
      </c>
      <c r="I337" s="54">
        <v>8.26</v>
      </c>
      <c r="J337" s="54">
        <v>8.3000000000000007</v>
      </c>
      <c r="K337" s="54">
        <v>8.34</v>
      </c>
      <c r="L337" s="54">
        <v>8.36</v>
      </c>
      <c r="M337" s="54">
        <v>8.43</v>
      </c>
      <c r="N337" s="54">
        <v>8.52</v>
      </c>
      <c r="O337" s="55"/>
      <c r="P337" s="56"/>
      <c r="Q337" s="56"/>
      <c r="R337" s="56"/>
      <c r="S337" s="56"/>
      <c r="T337" s="57"/>
    </row>
    <row r="338" spans="1:20" ht="13.5" customHeight="1" x14ac:dyDescent="0.2">
      <c r="A338" s="53">
        <v>1830</v>
      </c>
      <c r="B338" s="54" t="s">
        <v>397</v>
      </c>
      <c r="C338" s="54">
        <v>18</v>
      </c>
      <c r="D338" s="54">
        <v>13.01</v>
      </c>
      <c r="E338" s="54">
        <v>13.12</v>
      </c>
      <c r="F338" s="54">
        <v>13.18</v>
      </c>
      <c r="G338" s="54">
        <v>13.24</v>
      </c>
      <c r="H338" s="54">
        <v>13.3</v>
      </c>
      <c r="I338" s="54">
        <v>13.36</v>
      </c>
      <c r="J338" s="54">
        <v>13.42</v>
      </c>
      <c r="K338" s="54">
        <v>13.47</v>
      </c>
      <c r="L338" s="54">
        <v>13.51</v>
      </c>
      <c r="M338" s="54">
        <v>13.64</v>
      </c>
      <c r="N338" s="54">
        <v>13.77</v>
      </c>
      <c r="O338" s="55"/>
      <c r="P338" s="56"/>
      <c r="Q338" s="56"/>
      <c r="R338" s="56"/>
      <c r="S338" s="56"/>
      <c r="T338" s="57"/>
    </row>
    <row r="339" spans="1:20" ht="13.5" customHeight="1" x14ac:dyDescent="0.2">
      <c r="A339" s="53">
        <v>1831</v>
      </c>
      <c r="B339" s="54" t="s">
        <v>398</v>
      </c>
      <c r="C339" s="54">
        <v>18</v>
      </c>
      <c r="D339" s="54">
        <v>4.5199999999999996</v>
      </c>
      <c r="E339" s="54">
        <v>4.55</v>
      </c>
      <c r="F339" s="54">
        <v>4.57</v>
      </c>
      <c r="G339" s="54">
        <v>4.59</v>
      </c>
      <c r="H339" s="54">
        <v>4.6100000000000003</v>
      </c>
      <c r="I339" s="54">
        <v>4.63</v>
      </c>
      <c r="J339" s="54">
        <v>4.6500000000000004</v>
      </c>
      <c r="K339" s="54">
        <v>4.68</v>
      </c>
      <c r="L339" s="54">
        <v>4.6900000000000004</v>
      </c>
      <c r="M339" s="54">
        <v>4.7300000000000004</v>
      </c>
      <c r="N339" s="54">
        <v>4.7699999999999996</v>
      </c>
      <c r="O339" s="55"/>
      <c r="P339" s="56"/>
      <c r="Q339" s="56"/>
      <c r="R339" s="56"/>
      <c r="S339" s="56"/>
      <c r="T339" s="57"/>
    </row>
    <row r="340" spans="1:20" ht="13.5" customHeight="1" x14ac:dyDescent="0.2">
      <c r="A340" s="53">
        <v>1846</v>
      </c>
      <c r="B340" s="54" t="s">
        <v>399</v>
      </c>
      <c r="C340" s="54">
        <v>12</v>
      </c>
      <c r="D340" s="54">
        <v>7.07</v>
      </c>
      <c r="E340" s="54">
        <v>7.14</v>
      </c>
      <c r="F340" s="54">
        <v>7.17</v>
      </c>
      <c r="G340" s="54">
        <v>7.2</v>
      </c>
      <c r="H340" s="54">
        <v>7.23</v>
      </c>
      <c r="I340" s="54">
        <v>7.26</v>
      </c>
      <c r="J340" s="54">
        <v>7.3</v>
      </c>
      <c r="K340" s="54">
        <v>7.33</v>
      </c>
      <c r="L340" s="54">
        <v>7.35</v>
      </c>
      <c r="M340" s="54">
        <v>7.41</v>
      </c>
      <c r="N340" s="54">
        <v>7.49</v>
      </c>
      <c r="O340" s="55"/>
      <c r="P340" s="56"/>
      <c r="Q340" s="56"/>
      <c r="R340" s="56"/>
      <c r="S340" s="56"/>
      <c r="T340" s="57"/>
    </row>
    <row r="341" spans="1:20" ht="13.5" customHeight="1" x14ac:dyDescent="0.2">
      <c r="A341" s="53">
        <v>1847</v>
      </c>
      <c r="B341" s="54" t="s">
        <v>400</v>
      </c>
      <c r="C341" s="54">
        <v>12</v>
      </c>
      <c r="D341" s="54">
        <v>8.07</v>
      </c>
      <c r="E341" s="54">
        <v>8.15</v>
      </c>
      <c r="F341" s="54">
        <v>8.18</v>
      </c>
      <c r="G341" s="54">
        <v>8.2200000000000006</v>
      </c>
      <c r="H341" s="54">
        <v>8.25</v>
      </c>
      <c r="I341" s="54">
        <v>8.2899999999999991</v>
      </c>
      <c r="J341" s="54">
        <v>8.33</v>
      </c>
      <c r="K341" s="54">
        <v>8.36</v>
      </c>
      <c r="L341" s="54">
        <v>8.3800000000000008</v>
      </c>
      <c r="M341" s="54">
        <v>8.4700000000000006</v>
      </c>
      <c r="N341" s="54">
        <v>8.5399999999999991</v>
      </c>
      <c r="O341" s="55"/>
      <c r="P341" s="56"/>
      <c r="Q341" s="56"/>
      <c r="R341" s="56"/>
      <c r="S341" s="56"/>
      <c r="T341" s="57"/>
    </row>
    <row r="342" spans="1:20" ht="13.5" customHeight="1" x14ac:dyDescent="0.2">
      <c r="A342" s="53">
        <v>1848</v>
      </c>
      <c r="B342" s="54" t="s">
        <v>401</v>
      </c>
      <c r="C342" s="54">
        <v>12</v>
      </c>
      <c r="D342" s="54">
        <v>9.0299999999999994</v>
      </c>
      <c r="E342" s="54">
        <v>9.1199999999999992</v>
      </c>
      <c r="F342" s="54">
        <v>9.16</v>
      </c>
      <c r="G342" s="54">
        <v>9.19</v>
      </c>
      <c r="H342" s="54">
        <v>9.23</v>
      </c>
      <c r="I342" s="54">
        <v>9.2799999999999994</v>
      </c>
      <c r="J342" s="54">
        <v>9.32</v>
      </c>
      <c r="K342" s="54">
        <v>9.36</v>
      </c>
      <c r="L342" s="54">
        <v>9.3800000000000008</v>
      </c>
      <c r="M342" s="54">
        <v>9.4700000000000006</v>
      </c>
      <c r="N342" s="54">
        <v>9.56</v>
      </c>
      <c r="O342" s="55"/>
      <c r="P342" s="56"/>
      <c r="Q342" s="56"/>
      <c r="R342" s="56"/>
      <c r="S342" s="56"/>
      <c r="T342" s="57"/>
    </row>
    <row r="343" spans="1:20" ht="13.5" customHeight="1" x14ac:dyDescent="0.2">
      <c r="A343" s="53">
        <v>1849</v>
      </c>
      <c r="B343" s="54" t="s">
        <v>402</v>
      </c>
      <c r="C343" s="54">
        <v>6</v>
      </c>
      <c r="D343" s="54">
        <v>11.99</v>
      </c>
      <c r="E343" s="54">
        <v>12.1</v>
      </c>
      <c r="F343" s="54">
        <v>12.15</v>
      </c>
      <c r="G343" s="54">
        <v>12.2</v>
      </c>
      <c r="H343" s="54">
        <v>12.26</v>
      </c>
      <c r="I343" s="54">
        <v>12.31</v>
      </c>
      <c r="J343" s="54">
        <v>12.38</v>
      </c>
      <c r="K343" s="54">
        <v>12.43</v>
      </c>
      <c r="L343" s="54">
        <v>12.46</v>
      </c>
      <c r="M343" s="54">
        <v>12.58</v>
      </c>
      <c r="N343" s="54">
        <v>12.69</v>
      </c>
      <c r="O343" s="55"/>
      <c r="P343" s="56"/>
      <c r="Q343" s="56"/>
      <c r="R343" s="56"/>
      <c r="S343" s="56"/>
      <c r="T343" s="57"/>
    </row>
    <row r="344" spans="1:20" ht="13.5" customHeight="1" x14ac:dyDescent="0.2">
      <c r="A344" s="53">
        <v>1850</v>
      </c>
      <c r="B344" s="54" t="s">
        <v>403</v>
      </c>
      <c r="C344" s="54">
        <v>8</v>
      </c>
      <c r="D344" s="54">
        <v>25.91</v>
      </c>
      <c r="E344" s="54">
        <v>26.14</v>
      </c>
      <c r="F344" s="54">
        <v>26.25</v>
      </c>
      <c r="G344" s="54">
        <v>26.37</v>
      </c>
      <c r="H344" s="54">
        <v>26.49</v>
      </c>
      <c r="I344" s="54">
        <v>26.6</v>
      </c>
      <c r="J344" s="54">
        <v>26.72</v>
      </c>
      <c r="K344" s="54">
        <v>26.84</v>
      </c>
      <c r="L344" s="54">
        <v>26.9</v>
      </c>
      <c r="M344" s="54">
        <v>27.16</v>
      </c>
      <c r="N344" s="54">
        <v>27.41</v>
      </c>
      <c r="O344" s="55"/>
      <c r="P344" s="56"/>
      <c r="Q344" s="56"/>
      <c r="R344" s="56"/>
      <c r="S344" s="56"/>
      <c r="T344" s="57"/>
    </row>
    <row r="345" spans="1:20" ht="13.5" customHeight="1" x14ac:dyDescent="0.2">
      <c r="A345" s="53">
        <v>1851</v>
      </c>
      <c r="B345" s="54" t="s">
        <v>404</v>
      </c>
      <c r="C345" s="54">
        <v>6</v>
      </c>
      <c r="D345" s="54">
        <v>12.32</v>
      </c>
      <c r="E345" s="54">
        <v>12.43</v>
      </c>
      <c r="F345" s="54">
        <v>12.49</v>
      </c>
      <c r="G345" s="54">
        <v>12.55</v>
      </c>
      <c r="H345" s="54">
        <v>12.6</v>
      </c>
      <c r="I345" s="54">
        <v>12.65</v>
      </c>
      <c r="J345" s="54">
        <v>12.71</v>
      </c>
      <c r="K345" s="54">
        <v>12.77</v>
      </c>
      <c r="L345" s="54">
        <v>12.8</v>
      </c>
      <c r="M345" s="54">
        <v>12.92</v>
      </c>
      <c r="N345" s="54">
        <v>13.05</v>
      </c>
      <c r="O345" s="55"/>
      <c r="P345" s="56"/>
      <c r="Q345" s="56"/>
      <c r="R345" s="56"/>
      <c r="S345" s="56"/>
      <c r="T345" s="57"/>
    </row>
    <row r="346" spans="1:20" ht="13.5" customHeight="1" x14ac:dyDescent="0.2">
      <c r="A346" s="53">
        <v>1852</v>
      </c>
      <c r="B346" s="54" t="s">
        <v>405</v>
      </c>
      <c r="C346" s="54">
        <v>8</v>
      </c>
      <c r="D346" s="54">
        <v>26.91</v>
      </c>
      <c r="E346" s="54">
        <v>27.15</v>
      </c>
      <c r="F346" s="54">
        <v>27.26</v>
      </c>
      <c r="G346" s="54">
        <v>27.38</v>
      </c>
      <c r="H346" s="54">
        <v>27.51</v>
      </c>
      <c r="I346" s="54">
        <v>27.63</v>
      </c>
      <c r="J346" s="54">
        <v>27.75</v>
      </c>
      <c r="K346" s="54">
        <v>27.87</v>
      </c>
      <c r="L346" s="54">
        <v>27.94</v>
      </c>
      <c r="M346" s="54">
        <v>28.2</v>
      </c>
      <c r="N346" s="54">
        <v>28.47</v>
      </c>
      <c r="O346" s="55"/>
      <c r="P346" s="56"/>
      <c r="Q346" s="56"/>
      <c r="R346" s="56"/>
      <c r="S346" s="56"/>
      <c r="T346" s="57"/>
    </row>
    <row r="347" spans="1:20" ht="13.5" customHeight="1" x14ac:dyDescent="0.2">
      <c r="A347" s="53">
        <v>1853</v>
      </c>
      <c r="B347" s="54" t="s">
        <v>406</v>
      </c>
      <c r="C347" s="54">
        <v>4</v>
      </c>
      <c r="D347" s="54">
        <v>21.76</v>
      </c>
      <c r="E347" s="54">
        <v>21.95</v>
      </c>
      <c r="F347" s="54">
        <v>22.04</v>
      </c>
      <c r="G347" s="54">
        <v>22.14</v>
      </c>
      <c r="H347" s="54">
        <v>22.24</v>
      </c>
      <c r="I347" s="54">
        <v>22.34</v>
      </c>
      <c r="J347" s="54">
        <v>22.43</v>
      </c>
      <c r="K347" s="54">
        <v>22.53</v>
      </c>
      <c r="L347" s="54">
        <v>22.59</v>
      </c>
      <c r="M347" s="54">
        <v>22.8</v>
      </c>
      <c r="N347" s="54">
        <v>23.02</v>
      </c>
      <c r="O347" s="55"/>
      <c r="P347" s="56"/>
      <c r="Q347" s="56"/>
      <c r="R347" s="56"/>
      <c r="S347" s="56"/>
      <c r="T347" s="57"/>
    </row>
    <row r="348" spans="1:20" ht="13.5" customHeight="1" x14ac:dyDescent="0.2">
      <c r="A348" s="53">
        <v>1856</v>
      </c>
      <c r="B348" s="54" t="s">
        <v>407</v>
      </c>
      <c r="C348" s="54">
        <v>1</v>
      </c>
      <c r="D348" s="54">
        <v>895.49</v>
      </c>
      <c r="E348" s="54">
        <v>903.4</v>
      </c>
      <c r="F348" s="54">
        <v>907.37</v>
      </c>
      <c r="G348" s="54">
        <v>911.36</v>
      </c>
      <c r="H348" s="54">
        <v>915.38</v>
      </c>
      <c r="I348" s="54">
        <v>919.4</v>
      </c>
      <c r="J348" s="54">
        <v>923.45</v>
      </c>
      <c r="K348" s="54">
        <v>927.52</v>
      </c>
      <c r="L348" s="54">
        <v>929.85</v>
      </c>
      <c r="M348" s="54">
        <v>938.64</v>
      </c>
      <c r="N348" s="54">
        <v>947.51</v>
      </c>
      <c r="O348" s="55"/>
      <c r="P348" s="56"/>
      <c r="Q348" s="56"/>
      <c r="R348" s="56"/>
      <c r="S348" s="56"/>
      <c r="T348" s="57"/>
    </row>
    <row r="349" spans="1:20" ht="13.5" customHeight="1" x14ac:dyDescent="0.2">
      <c r="A349" s="53" t="s">
        <v>408</v>
      </c>
      <c r="B349" s="54" t="s">
        <v>409</v>
      </c>
      <c r="C349" s="54">
        <v>12</v>
      </c>
      <c r="D349" s="54">
        <v>6.77</v>
      </c>
      <c r="E349" s="54">
        <v>6.84</v>
      </c>
      <c r="F349" s="54">
        <v>6.86</v>
      </c>
      <c r="G349" s="54">
        <v>6.89</v>
      </c>
      <c r="H349" s="54">
        <v>6.92</v>
      </c>
      <c r="I349" s="54">
        <v>6.95</v>
      </c>
      <c r="J349" s="54">
        <v>6.99</v>
      </c>
      <c r="K349" s="54">
        <v>7.02</v>
      </c>
      <c r="L349" s="54">
        <v>7.03</v>
      </c>
      <c r="M349" s="54">
        <v>7.1</v>
      </c>
      <c r="N349" s="54">
        <v>7.17</v>
      </c>
      <c r="O349" s="55"/>
      <c r="P349" s="56"/>
      <c r="Q349" s="56"/>
      <c r="R349" s="56"/>
      <c r="S349" s="56"/>
      <c r="T349" s="57"/>
    </row>
    <row r="350" spans="1:20" ht="13.5" customHeight="1" x14ac:dyDescent="0.2">
      <c r="A350" s="53" t="s">
        <v>410</v>
      </c>
      <c r="B350" s="54" t="s">
        <v>411</v>
      </c>
      <c r="C350" s="54">
        <v>24</v>
      </c>
      <c r="D350" s="54">
        <v>3.11</v>
      </c>
      <c r="E350" s="54">
        <v>3.14</v>
      </c>
      <c r="F350" s="54">
        <v>3.15</v>
      </c>
      <c r="G350" s="54">
        <v>3.16</v>
      </c>
      <c r="H350" s="54">
        <v>3.18</v>
      </c>
      <c r="I350" s="54">
        <v>3.2</v>
      </c>
      <c r="J350" s="54">
        <v>3.21</v>
      </c>
      <c r="K350" s="54">
        <v>3.23</v>
      </c>
      <c r="L350" s="54">
        <v>3.23</v>
      </c>
      <c r="M350" s="54">
        <v>3.26</v>
      </c>
      <c r="N350" s="54">
        <v>3.29</v>
      </c>
      <c r="O350" s="55"/>
      <c r="P350" s="56"/>
      <c r="Q350" s="56"/>
      <c r="R350" s="56"/>
      <c r="S350" s="56"/>
      <c r="T350" s="57"/>
    </row>
    <row r="351" spans="1:20" ht="13.5" customHeight="1" x14ac:dyDescent="0.2">
      <c r="A351" s="53" t="s">
        <v>412</v>
      </c>
      <c r="B351" s="54" t="s">
        <v>413</v>
      </c>
      <c r="C351" s="54">
        <v>15</v>
      </c>
      <c r="D351" s="54">
        <v>7.25</v>
      </c>
      <c r="E351" s="54">
        <v>7.32</v>
      </c>
      <c r="F351" s="54">
        <v>7.35</v>
      </c>
      <c r="G351" s="54">
        <v>7.38</v>
      </c>
      <c r="H351" s="54">
        <v>7.41</v>
      </c>
      <c r="I351" s="54">
        <v>7.44</v>
      </c>
      <c r="J351" s="54">
        <v>7.48</v>
      </c>
      <c r="K351" s="54">
        <v>7.51</v>
      </c>
      <c r="L351" s="54">
        <v>7.53</v>
      </c>
      <c r="M351" s="54">
        <v>7.6</v>
      </c>
      <c r="N351" s="54">
        <v>7.68</v>
      </c>
      <c r="O351" s="55"/>
      <c r="P351" s="56"/>
      <c r="Q351" s="56"/>
      <c r="R351" s="56"/>
      <c r="S351" s="56"/>
      <c r="T351" s="57"/>
    </row>
    <row r="352" spans="1:20" ht="13.5" customHeight="1" x14ac:dyDescent="0.2">
      <c r="A352" s="53" t="s">
        <v>414</v>
      </c>
      <c r="B352" s="54" t="s">
        <v>415</v>
      </c>
      <c r="C352" s="54">
        <v>24</v>
      </c>
      <c r="D352" s="54">
        <v>5.44</v>
      </c>
      <c r="E352" s="54">
        <v>5.5</v>
      </c>
      <c r="F352" s="54">
        <v>5.52</v>
      </c>
      <c r="G352" s="54">
        <v>5.54</v>
      </c>
      <c r="H352" s="54">
        <v>5.56</v>
      </c>
      <c r="I352" s="54">
        <v>5.59</v>
      </c>
      <c r="J352" s="54">
        <v>5.61</v>
      </c>
      <c r="K352" s="54">
        <v>5.63</v>
      </c>
      <c r="L352" s="54">
        <v>5.66</v>
      </c>
      <c r="M352" s="54">
        <v>5.71</v>
      </c>
      <c r="N352" s="54">
        <v>5.76</v>
      </c>
      <c r="O352" s="55"/>
      <c r="P352" s="56"/>
      <c r="Q352" s="56"/>
      <c r="R352" s="56"/>
      <c r="S352" s="56"/>
      <c r="T352" s="57"/>
    </row>
    <row r="353" spans="1:20" ht="13.5" customHeight="1" x14ac:dyDescent="0.2">
      <c r="A353" s="53" t="s">
        <v>416</v>
      </c>
      <c r="B353" s="54" t="s">
        <v>417</v>
      </c>
      <c r="C353" s="54">
        <v>12</v>
      </c>
      <c r="D353" s="54">
        <v>6.84</v>
      </c>
      <c r="E353" s="54">
        <v>6.9</v>
      </c>
      <c r="F353" s="54">
        <v>6.93</v>
      </c>
      <c r="G353" s="54">
        <v>6.97</v>
      </c>
      <c r="H353" s="54">
        <v>7</v>
      </c>
      <c r="I353" s="54">
        <v>7.03</v>
      </c>
      <c r="J353" s="54">
        <v>7.05</v>
      </c>
      <c r="K353" s="54">
        <v>7.08</v>
      </c>
      <c r="L353" s="54">
        <v>7.1</v>
      </c>
      <c r="M353" s="54">
        <v>7.17</v>
      </c>
      <c r="N353" s="54">
        <v>7.24</v>
      </c>
      <c r="O353" s="55"/>
      <c r="P353" s="56"/>
      <c r="Q353" s="56"/>
      <c r="R353" s="56"/>
      <c r="S353" s="56"/>
      <c r="T353" s="57"/>
    </row>
    <row r="354" spans="1:20" ht="13.5" customHeight="1" x14ac:dyDescent="0.2">
      <c r="A354" s="53" t="s">
        <v>418</v>
      </c>
      <c r="B354" s="54" t="s">
        <v>419</v>
      </c>
      <c r="C354" s="54">
        <v>18</v>
      </c>
      <c r="D354" s="54">
        <v>7.8</v>
      </c>
      <c r="E354" s="54">
        <v>7.87</v>
      </c>
      <c r="F354" s="54">
        <v>7.9</v>
      </c>
      <c r="G354" s="54">
        <v>7.93</v>
      </c>
      <c r="H354" s="54">
        <v>7.98</v>
      </c>
      <c r="I354" s="54">
        <v>8.01</v>
      </c>
      <c r="J354" s="54">
        <v>8.0399999999999991</v>
      </c>
      <c r="K354" s="54">
        <v>8.08</v>
      </c>
      <c r="L354" s="54">
        <v>8.1</v>
      </c>
      <c r="M354" s="54">
        <v>8.18</v>
      </c>
      <c r="N354" s="54">
        <v>8.25</v>
      </c>
      <c r="O354" s="55"/>
      <c r="P354" s="56"/>
      <c r="Q354" s="56"/>
      <c r="R354" s="56"/>
      <c r="S354" s="56"/>
      <c r="T354" s="57"/>
    </row>
    <row r="355" spans="1:20" ht="13.5" customHeight="1" x14ac:dyDescent="0.2">
      <c r="A355" s="53" t="s">
        <v>420</v>
      </c>
      <c r="B355" s="54" t="s">
        <v>421</v>
      </c>
      <c r="C355" s="54">
        <v>12</v>
      </c>
      <c r="D355" s="54">
        <v>9.39</v>
      </c>
      <c r="E355" s="54">
        <v>9.48</v>
      </c>
      <c r="F355" s="54">
        <v>9.51</v>
      </c>
      <c r="G355" s="54">
        <v>9.5500000000000007</v>
      </c>
      <c r="H355" s="54">
        <v>9.6</v>
      </c>
      <c r="I355" s="54">
        <v>9.64</v>
      </c>
      <c r="J355" s="54">
        <v>9.68</v>
      </c>
      <c r="K355" s="54">
        <v>9.7200000000000006</v>
      </c>
      <c r="L355" s="54">
        <v>9.76</v>
      </c>
      <c r="M355" s="54">
        <v>9.84</v>
      </c>
      <c r="N355" s="54">
        <v>9.94</v>
      </c>
      <c r="O355" s="55"/>
      <c r="P355" s="56"/>
      <c r="Q355" s="56"/>
      <c r="R355" s="56"/>
      <c r="S355" s="56"/>
      <c r="T355" s="57"/>
    </row>
    <row r="356" spans="1:20" ht="13.5" customHeight="1" x14ac:dyDescent="0.2">
      <c r="A356" s="53" t="s">
        <v>422</v>
      </c>
      <c r="B356" s="54" t="s">
        <v>423</v>
      </c>
      <c r="C356" s="54">
        <v>12</v>
      </c>
      <c r="D356" s="54">
        <v>6.77</v>
      </c>
      <c r="E356" s="54">
        <v>6.84</v>
      </c>
      <c r="F356" s="54">
        <v>6.86</v>
      </c>
      <c r="G356" s="54">
        <v>6.89</v>
      </c>
      <c r="H356" s="54">
        <v>6.92</v>
      </c>
      <c r="I356" s="54">
        <v>6.95</v>
      </c>
      <c r="J356" s="54">
        <v>6.99</v>
      </c>
      <c r="K356" s="54">
        <v>7.02</v>
      </c>
      <c r="L356" s="54">
        <v>7.03</v>
      </c>
      <c r="M356" s="54">
        <v>7.1</v>
      </c>
      <c r="N356" s="54">
        <v>7.17</v>
      </c>
      <c r="O356" s="55"/>
      <c r="P356" s="56"/>
      <c r="Q356" s="56"/>
      <c r="R356" s="56"/>
      <c r="S356" s="56"/>
      <c r="T356" s="57"/>
    </row>
    <row r="357" spans="1:20" ht="13.5" customHeight="1" x14ac:dyDescent="0.2">
      <c r="A357" s="53" t="s">
        <v>424</v>
      </c>
      <c r="B357" s="54" t="s">
        <v>425</v>
      </c>
      <c r="C357" s="54">
        <v>12</v>
      </c>
      <c r="D357" s="54">
        <v>7.67</v>
      </c>
      <c r="E357" s="54">
        <v>7.73</v>
      </c>
      <c r="F357" s="54">
        <v>7.77</v>
      </c>
      <c r="G357" s="54">
        <v>7.8</v>
      </c>
      <c r="H357" s="54">
        <v>7.84</v>
      </c>
      <c r="I357" s="54">
        <v>7.87</v>
      </c>
      <c r="J357" s="54">
        <v>7.91</v>
      </c>
      <c r="K357" s="54">
        <v>7.94</v>
      </c>
      <c r="L357" s="54">
        <v>7.96</v>
      </c>
      <c r="M357" s="54">
        <v>8.0399999999999991</v>
      </c>
      <c r="N357" s="54">
        <v>8.11</v>
      </c>
      <c r="O357" s="55"/>
      <c r="P357" s="56"/>
      <c r="Q357" s="56"/>
      <c r="R357" s="56"/>
      <c r="S357" s="56"/>
      <c r="T357" s="57"/>
    </row>
    <row r="358" spans="1:20" ht="13.5" customHeight="1" x14ac:dyDescent="0.2">
      <c r="A358" s="53" t="s">
        <v>426</v>
      </c>
      <c r="B358" s="54" t="s">
        <v>427</v>
      </c>
      <c r="C358" s="54">
        <v>10</v>
      </c>
      <c r="D358" s="54">
        <v>6.05</v>
      </c>
      <c r="E358" s="54">
        <v>6.1</v>
      </c>
      <c r="F358" s="54">
        <v>6.12</v>
      </c>
      <c r="G358" s="54">
        <v>6.16</v>
      </c>
      <c r="H358" s="54">
        <v>6.18</v>
      </c>
      <c r="I358" s="54">
        <v>6.21</v>
      </c>
      <c r="J358" s="54">
        <v>6.23</v>
      </c>
      <c r="K358" s="54">
        <v>6.26</v>
      </c>
      <c r="L358" s="54">
        <v>6.27</v>
      </c>
      <c r="M358" s="54">
        <v>6.34</v>
      </c>
      <c r="N358" s="54">
        <v>6.4</v>
      </c>
      <c r="O358" s="55"/>
      <c r="P358" s="56"/>
      <c r="Q358" s="56"/>
      <c r="R358" s="56"/>
      <c r="S358" s="56"/>
      <c r="T358" s="57"/>
    </row>
    <row r="359" spans="1:20" ht="13.5" customHeight="1" x14ac:dyDescent="0.2">
      <c r="A359" s="53" t="s">
        <v>428</v>
      </c>
      <c r="B359" s="54" t="s">
        <v>429</v>
      </c>
      <c r="C359" s="54">
        <v>12</v>
      </c>
      <c r="D359" s="54">
        <v>6.77</v>
      </c>
      <c r="E359" s="54">
        <v>6.84</v>
      </c>
      <c r="F359" s="54">
        <v>6.86</v>
      </c>
      <c r="G359" s="54">
        <v>6.89</v>
      </c>
      <c r="H359" s="54">
        <v>6.92</v>
      </c>
      <c r="I359" s="54">
        <v>6.95</v>
      </c>
      <c r="J359" s="54">
        <v>6.99</v>
      </c>
      <c r="K359" s="54">
        <v>7.02</v>
      </c>
      <c r="L359" s="54">
        <v>7.03</v>
      </c>
      <c r="M359" s="54">
        <v>7.1</v>
      </c>
      <c r="N359" s="54">
        <v>7.17</v>
      </c>
      <c r="O359" s="55"/>
      <c r="P359" s="56"/>
      <c r="Q359" s="56"/>
      <c r="R359" s="56"/>
      <c r="S359" s="56"/>
      <c r="T359" s="57"/>
    </row>
    <row r="360" spans="1:20" ht="13.5" customHeight="1" x14ac:dyDescent="0.2">
      <c r="A360" s="53" t="s">
        <v>430</v>
      </c>
      <c r="B360" s="54" t="s">
        <v>431</v>
      </c>
      <c r="C360" s="54">
        <v>18</v>
      </c>
      <c r="D360" s="54">
        <v>5.24</v>
      </c>
      <c r="E360" s="54">
        <v>5.28</v>
      </c>
      <c r="F360" s="54">
        <v>5.3</v>
      </c>
      <c r="G360" s="54">
        <v>5.33</v>
      </c>
      <c r="H360" s="54">
        <v>5.36</v>
      </c>
      <c r="I360" s="54">
        <v>5.38</v>
      </c>
      <c r="J360" s="54">
        <v>5.4</v>
      </c>
      <c r="K360" s="54">
        <v>5.42</v>
      </c>
      <c r="L360" s="54">
        <v>5.44</v>
      </c>
      <c r="M360" s="54">
        <v>5.48</v>
      </c>
      <c r="N360" s="54">
        <v>5.54</v>
      </c>
      <c r="O360" s="55"/>
      <c r="P360" s="56"/>
      <c r="Q360" s="56"/>
      <c r="R360" s="56"/>
      <c r="S360" s="56"/>
      <c r="T360" s="57"/>
    </row>
    <row r="361" spans="1:20" ht="13.5" customHeight="1" x14ac:dyDescent="0.2">
      <c r="A361" s="53" t="s">
        <v>432</v>
      </c>
      <c r="B361" s="54" t="s">
        <v>433</v>
      </c>
      <c r="C361" s="54">
        <v>20</v>
      </c>
      <c r="D361" s="54">
        <v>6.68</v>
      </c>
      <c r="E361" s="54">
        <v>6.73</v>
      </c>
      <c r="F361" s="54">
        <v>6.76</v>
      </c>
      <c r="G361" s="54">
        <v>6.79</v>
      </c>
      <c r="H361" s="54">
        <v>6.83</v>
      </c>
      <c r="I361" s="54">
        <v>6.86</v>
      </c>
      <c r="J361" s="54">
        <v>6.88</v>
      </c>
      <c r="K361" s="54">
        <v>6.91</v>
      </c>
      <c r="L361" s="54">
        <v>6.93</v>
      </c>
      <c r="M361" s="54">
        <v>7</v>
      </c>
      <c r="N361" s="54">
        <v>7.06</v>
      </c>
      <c r="O361" s="55"/>
      <c r="P361" s="56"/>
      <c r="Q361" s="56"/>
      <c r="R361" s="56"/>
      <c r="S361" s="56"/>
      <c r="T361" s="57"/>
    </row>
    <row r="362" spans="1:20" ht="13.5" customHeight="1" x14ac:dyDescent="0.2">
      <c r="A362" s="53" t="s">
        <v>434</v>
      </c>
      <c r="B362" s="54" t="s">
        <v>435</v>
      </c>
      <c r="C362" s="54">
        <v>12</v>
      </c>
      <c r="D362" s="54">
        <v>8.2100000000000009</v>
      </c>
      <c r="E362" s="54">
        <v>8.2899999999999991</v>
      </c>
      <c r="F362" s="54">
        <v>8.32</v>
      </c>
      <c r="G362" s="54">
        <v>8.36</v>
      </c>
      <c r="H362" s="54">
        <v>8.39</v>
      </c>
      <c r="I362" s="54">
        <v>8.43</v>
      </c>
      <c r="J362" s="54">
        <v>8.4700000000000006</v>
      </c>
      <c r="K362" s="54">
        <v>8.51</v>
      </c>
      <c r="L362" s="54">
        <v>8.5299999999999994</v>
      </c>
      <c r="M362" s="54">
        <v>8.61</v>
      </c>
      <c r="N362" s="54">
        <v>8.69</v>
      </c>
      <c r="O362" s="55"/>
      <c r="P362" s="56"/>
      <c r="Q362" s="56"/>
      <c r="R362" s="56"/>
      <c r="S362" s="56"/>
      <c r="T362" s="57"/>
    </row>
    <row r="363" spans="1:20" ht="13.5" customHeight="1" x14ac:dyDescent="0.2">
      <c r="A363" s="53">
        <v>1885</v>
      </c>
      <c r="B363" s="54" t="s">
        <v>436</v>
      </c>
      <c r="C363" s="54">
        <v>6</v>
      </c>
      <c r="D363" s="54">
        <v>32.56</v>
      </c>
      <c r="E363" s="54">
        <v>32.840000000000003</v>
      </c>
      <c r="F363" s="54">
        <v>32.99</v>
      </c>
      <c r="G363" s="54">
        <v>33.14</v>
      </c>
      <c r="H363" s="54">
        <v>33.28</v>
      </c>
      <c r="I363" s="54">
        <v>33.43</v>
      </c>
      <c r="J363" s="54">
        <v>33.58</v>
      </c>
      <c r="K363" s="54">
        <v>33.729999999999997</v>
      </c>
      <c r="L363" s="54">
        <v>33.81</v>
      </c>
      <c r="M363" s="54">
        <v>34.130000000000003</v>
      </c>
      <c r="N363" s="54">
        <v>34.450000000000003</v>
      </c>
      <c r="O363" s="55"/>
      <c r="P363" s="56"/>
      <c r="Q363" s="56"/>
      <c r="R363" s="56"/>
      <c r="S363" s="56"/>
      <c r="T363" s="57"/>
    </row>
    <row r="364" spans="1:20" ht="13.5" customHeight="1" x14ac:dyDescent="0.2">
      <c r="A364" s="53" t="s">
        <v>437</v>
      </c>
      <c r="B364" s="54" t="s">
        <v>438</v>
      </c>
      <c r="C364" s="54">
        <v>12</v>
      </c>
      <c r="D364" s="54">
        <v>6.77</v>
      </c>
      <c r="E364" s="54">
        <v>6.84</v>
      </c>
      <c r="F364" s="54">
        <v>6.86</v>
      </c>
      <c r="G364" s="54">
        <v>6.89</v>
      </c>
      <c r="H364" s="54">
        <v>6.92</v>
      </c>
      <c r="I364" s="54">
        <v>6.95</v>
      </c>
      <c r="J364" s="54">
        <v>6.99</v>
      </c>
      <c r="K364" s="54">
        <v>7.02</v>
      </c>
      <c r="L364" s="54">
        <v>7.03</v>
      </c>
      <c r="M364" s="54">
        <v>7.1</v>
      </c>
      <c r="N364" s="54">
        <v>7.17</v>
      </c>
      <c r="O364" s="55"/>
      <c r="P364" s="56"/>
      <c r="Q364" s="56"/>
      <c r="R364" s="56"/>
      <c r="S364" s="56"/>
      <c r="T364" s="57"/>
    </row>
    <row r="365" spans="1:20" ht="13.5" customHeight="1" x14ac:dyDescent="0.2">
      <c r="A365" s="53" t="s">
        <v>439</v>
      </c>
      <c r="B365" s="54" t="s">
        <v>440</v>
      </c>
      <c r="C365" s="54">
        <v>24</v>
      </c>
      <c r="D365" s="54">
        <v>3.11</v>
      </c>
      <c r="E365" s="54">
        <v>3.14</v>
      </c>
      <c r="F365" s="54">
        <v>3.15</v>
      </c>
      <c r="G365" s="54">
        <v>3.16</v>
      </c>
      <c r="H365" s="54">
        <v>3.18</v>
      </c>
      <c r="I365" s="54">
        <v>3.2</v>
      </c>
      <c r="J365" s="54">
        <v>3.21</v>
      </c>
      <c r="K365" s="54">
        <v>3.23</v>
      </c>
      <c r="L365" s="54">
        <v>3.23</v>
      </c>
      <c r="M365" s="54">
        <v>3.26</v>
      </c>
      <c r="N365" s="54">
        <v>3.29</v>
      </c>
      <c r="O365" s="55"/>
      <c r="P365" s="56"/>
      <c r="Q365" s="56"/>
      <c r="R365" s="56"/>
      <c r="S365" s="56"/>
      <c r="T365" s="57"/>
    </row>
    <row r="366" spans="1:20" ht="13.5" customHeight="1" x14ac:dyDescent="0.2">
      <c r="A366" s="53" t="s">
        <v>441</v>
      </c>
      <c r="B366" s="54" t="s">
        <v>442</v>
      </c>
      <c r="C366" s="54">
        <v>15</v>
      </c>
      <c r="D366" s="54">
        <v>7.25</v>
      </c>
      <c r="E366" s="54">
        <v>7.32</v>
      </c>
      <c r="F366" s="54">
        <v>7.35</v>
      </c>
      <c r="G366" s="54">
        <v>7.38</v>
      </c>
      <c r="H366" s="54">
        <v>7.41</v>
      </c>
      <c r="I366" s="54">
        <v>7.44</v>
      </c>
      <c r="J366" s="54">
        <v>7.48</v>
      </c>
      <c r="K366" s="54">
        <v>7.51</v>
      </c>
      <c r="L366" s="54">
        <v>7.53</v>
      </c>
      <c r="M366" s="54">
        <v>7.6</v>
      </c>
      <c r="N366" s="54">
        <v>7.68</v>
      </c>
      <c r="O366" s="55"/>
      <c r="P366" s="56"/>
      <c r="Q366" s="56"/>
      <c r="R366" s="56"/>
      <c r="S366" s="56"/>
      <c r="T366" s="57"/>
    </row>
    <row r="367" spans="1:20" ht="13.5" customHeight="1" x14ac:dyDescent="0.2">
      <c r="A367" s="53" t="s">
        <v>443</v>
      </c>
      <c r="B367" s="54" t="s">
        <v>444</v>
      </c>
      <c r="C367" s="54">
        <v>24</v>
      </c>
      <c r="D367" s="54">
        <v>5.44</v>
      </c>
      <c r="E367" s="54">
        <v>5.5</v>
      </c>
      <c r="F367" s="54">
        <v>5.52</v>
      </c>
      <c r="G367" s="54">
        <v>5.54</v>
      </c>
      <c r="H367" s="54">
        <v>5.56</v>
      </c>
      <c r="I367" s="54">
        <v>5.59</v>
      </c>
      <c r="J367" s="54">
        <v>5.61</v>
      </c>
      <c r="K367" s="54">
        <v>5.63</v>
      </c>
      <c r="L367" s="54">
        <v>5.66</v>
      </c>
      <c r="M367" s="54">
        <v>5.71</v>
      </c>
      <c r="N367" s="54">
        <v>5.76</v>
      </c>
      <c r="O367" s="55"/>
      <c r="P367" s="56"/>
      <c r="Q367" s="56"/>
      <c r="R367" s="56"/>
      <c r="S367" s="56"/>
      <c r="T367" s="57"/>
    </row>
    <row r="368" spans="1:20" ht="13.5" customHeight="1" x14ac:dyDescent="0.2">
      <c r="A368" s="53" t="s">
        <v>445</v>
      </c>
      <c r="B368" s="54" t="s">
        <v>446</v>
      </c>
      <c r="C368" s="54">
        <v>12</v>
      </c>
      <c r="D368" s="54">
        <v>6.84</v>
      </c>
      <c r="E368" s="54">
        <v>6.9</v>
      </c>
      <c r="F368" s="54">
        <v>6.93</v>
      </c>
      <c r="G368" s="54">
        <v>6.97</v>
      </c>
      <c r="H368" s="54">
        <v>7</v>
      </c>
      <c r="I368" s="54">
        <v>7.03</v>
      </c>
      <c r="J368" s="54">
        <v>7.05</v>
      </c>
      <c r="K368" s="54">
        <v>7.08</v>
      </c>
      <c r="L368" s="54">
        <v>7.1</v>
      </c>
      <c r="M368" s="54">
        <v>7.17</v>
      </c>
      <c r="N368" s="54">
        <v>7.24</v>
      </c>
      <c r="O368" s="55"/>
      <c r="P368" s="56"/>
      <c r="Q368" s="56"/>
      <c r="R368" s="56"/>
      <c r="S368" s="56"/>
      <c r="T368" s="57"/>
    </row>
    <row r="369" spans="1:20" ht="13.5" customHeight="1" x14ac:dyDescent="0.2">
      <c r="A369" s="53" t="s">
        <v>447</v>
      </c>
      <c r="B369" s="54" t="s">
        <v>448</v>
      </c>
      <c r="C369" s="54">
        <v>18</v>
      </c>
      <c r="D369" s="54">
        <v>7.8</v>
      </c>
      <c r="E369" s="54">
        <v>7.87</v>
      </c>
      <c r="F369" s="54">
        <v>7.9</v>
      </c>
      <c r="G369" s="54">
        <v>7.93</v>
      </c>
      <c r="H369" s="54">
        <v>7.98</v>
      </c>
      <c r="I369" s="54">
        <v>8.01</v>
      </c>
      <c r="J369" s="54">
        <v>8.0399999999999991</v>
      </c>
      <c r="K369" s="54">
        <v>8.08</v>
      </c>
      <c r="L369" s="54">
        <v>8.1</v>
      </c>
      <c r="M369" s="54">
        <v>8.18</v>
      </c>
      <c r="N369" s="54">
        <v>8.25</v>
      </c>
      <c r="O369" s="55"/>
      <c r="P369" s="56"/>
      <c r="Q369" s="56"/>
      <c r="R369" s="56"/>
      <c r="S369" s="56"/>
      <c r="T369" s="57"/>
    </row>
    <row r="370" spans="1:20" ht="13.5" customHeight="1" x14ac:dyDescent="0.2">
      <c r="A370" s="53" t="s">
        <v>449</v>
      </c>
      <c r="B370" s="54" t="s">
        <v>450</v>
      </c>
      <c r="C370" s="54">
        <v>12</v>
      </c>
      <c r="D370" s="54">
        <v>9.39</v>
      </c>
      <c r="E370" s="54">
        <v>9.48</v>
      </c>
      <c r="F370" s="54">
        <v>9.51</v>
      </c>
      <c r="G370" s="54">
        <v>9.5500000000000007</v>
      </c>
      <c r="H370" s="54">
        <v>9.6</v>
      </c>
      <c r="I370" s="54">
        <v>9.64</v>
      </c>
      <c r="J370" s="54">
        <v>9.68</v>
      </c>
      <c r="K370" s="54">
        <v>9.7200000000000006</v>
      </c>
      <c r="L370" s="54">
        <v>9.76</v>
      </c>
      <c r="M370" s="54">
        <v>9.84</v>
      </c>
      <c r="N370" s="54">
        <v>9.94</v>
      </c>
      <c r="O370" s="55"/>
      <c r="P370" s="56"/>
      <c r="Q370" s="56"/>
      <c r="R370" s="56"/>
      <c r="S370" s="56"/>
      <c r="T370" s="57"/>
    </row>
    <row r="371" spans="1:20" ht="13.5" customHeight="1" x14ac:dyDescent="0.2">
      <c r="A371" s="53" t="s">
        <v>451</v>
      </c>
      <c r="B371" s="54" t="s">
        <v>452</v>
      </c>
      <c r="C371" s="54">
        <v>10</v>
      </c>
      <c r="D371" s="54">
        <v>8.16</v>
      </c>
      <c r="E371" s="54">
        <v>8.23</v>
      </c>
      <c r="F371" s="54">
        <v>8.26</v>
      </c>
      <c r="G371" s="54">
        <v>8.31</v>
      </c>
      <c r="H371" s="54">
        <v>8.34</v>
      </c>
      <c r="I371" s="54">
        <v>8.3699999999999992</v>
      </c>
      <c r="J371" s="54">
        <v>8.41</v>
      </c>
      <c r="K371" s="54">
        <v>8.4499999999999993</v>
      </c>
      <c r="L371" s="54">
        <v>8.4700000000000006</v>
      </c>
      <c r="M371" s="54">
        <v>8.5500000000000007</v>
      </c>
      <c r="N371" s="54">
        <v>8.6300000000000008</v>
      </c>
      <c r="O371" s="55"/>
      <c r="P371" s="56"/>
      <c r="Q371" s="56"/>
      <c r="R371" s="56"/>
      <c r="S371" s="56"/>
      <c r="T371" s="57"/>
    </row>
    <row r="372" spans="1:20" ht="13.5" customHeight="1" x14ac:dyDescent="0.2">
      <c r="A372" s="53" t="s">
        <v>453</v>
      </c>
      <c r="B372" s="54" t="s">
        <v>454</v>
      </c>
      <c r="C372" s="54">
        <v>12</v>
      </c>
      <c r="D372" s="54">
        <v>6.77</v>
      </c>
      <c r="E372" s="54">
        <v>6.84</v>
      </c>
      <c r="F372" s="54">
        <v>6.86</v>
      </c>
      <c r="G372" s="54">
        <v>6.89</v>
      </c>
      <c r="H372" s="54">
        <v>6.92</v>
      </c>
      <c r="I372" s="54">
        <v>6.95</v>
      </c>
      <c r="J372" s="54">
        <v>6.99</v>
      </c>
      <c r="K372" s="54">
        <v>7.02</v>
      </c>
      <c r="L372" s="54">
        <v>7.03</v>
      </c>
      <c r="M372" s="54">
        <v>7.1</v>
      </c>
      <c r="N372" s="54">
        <v>7.17</v>
      </c>
      <c r="O372" s="55"/>
      <c r="P372" s="56"/>
      <c r="Q372" s="56"/>
      <c r="R372" s="56"/>
      <c r="S372" s="56"/>
      <c r="T372" s="57"/>
    </row>
    <row r="373" spans="1:20" ht="13.5" customHeight="1" x14ac:dyDescent="0.2">
      <c r="A373" s="53" t="s">
        <v>455</v>
      </c>
      <c r="B373" s="54" t="s">
        <v>456</v>
      </c>
      <c r="C373" s="54">
        <v>18</v>
      </c>
      <c r="D373" s="54">
        <v>5.24</v>
      </c>
      <c r="E373" s="54">
        <v>5.28</v>
      </c>
      <c r="F373" s="54">
        <v>5.3</v>
      </c>
      <c r="G373" s="54">
        <v>5.33</v>
      </c>
      <c r="H373" s="54">
        <v>5.36</v>
      </c>
      <c r="I373" s="54">
        <v>5.38</v>
      </c>
      <c r="J373" s="54">
        <v>5.4</v>
      </c>
      <c r="K373" s="54">
        <v>5.42</v>
      </c>
      <c r="L373" s="54">
        <v>5.44</v>
      </c>
      <c r="M373" s="54">
        <v>5.48</v>
      </c>
      <c r="N373" s="54">
        <v>5.54</v>
      </c>
      <c r="O373" s="55"/>
      <c r="P373" s="56"/>
      <c r="Q373" s="56"/>
      <c r="R373" s="56"/>
      <c r="S373" s="56"/>
      <c r="T373" s="57"/>
    </row>
    <row r="374" spans="1:20" ht="13.5" customHeight="1" x14ac:dyDescent="0.2">
      <c r="A374" s="53" t="s">
        <v>457</v>
      </c>
      <c r="B374" s="54" t="s">
        <v>458</v>
      </c>
      <c r="C374" s="54">
        <v>20</v>
      </c>
      <c r="D374" s="54">
        <v>6.68</v>
      </c>
      <c r="E374" s="54">
        <v>6.73</v>
      </c>
      <c r="F374" s="54">
        <v>6.76</v>
      </c>
      <c r="G374" s="54">
        <v>6.79</v>
      </c>
      <c r="H374" s="54">
        <v>6.83</v>
      </c>
      <c r="I374" s="54">
        <v>6.86</v>
      </c>
      <c r="J374" s="54">
        <v>6.88</v>
      </c>
      <c r="K374" s="54">
        <v>6.91</v>
      </c>
      <c r="L374" s="54">
        <v>6.93</v>
      </c>
      <c r="M374" s="54">
        <v>7</v>
      </c>
      <c r="N374" s="54">
        <v>7.06</v>
      </c>
      <c r="O374" s="55"/>
      <c r="P374" s="56"/>
      <c r="Q374" s="56"/>
      <c r="R374" s="56"/>
      <c r="S374" s="56"/>
      <c r="T374" s="57"/>
    </row>
    <row r="375" spans="1:20" ht="13.5" customHeight="1" x14ac:dyDescent="0.2">
      <c r="A375" s="53" t="s">
        <v>459</v>
      </c>
      <c r="B375" s="54" t="s">
        <v>460</v>
      </c>
      <c r="C375" s="54">
        <v>12</v>
      </c>
      <c r="D375" s="54">
        <v>8.2100000000000009</v>
      </c>
      <c r="E375" s="54">
        <v>8.2899999999999991</v>
      </c>
      <c r="F375" s="54">
        <v>8.32</v>
      </c>
      <c r="G375" s="54">
        <v>8.36</v>
      </c>
      <c r="H375" s="54">
        <v>8.39</v>
      </c>
      <c r="I375" s="54">
        <v>8.43</v>
      </c>
      <c r="J375" s="54">
        <v>8.4700000000000006</v>
      </c>
      <c r="K375" s="54">
        <v>8.51</v>
      </c>
      <c r="L375" s="54">
        <v>8.5299999999999994</v>
      </c>
      <c r="M375" s="54">
        <v>8.61</v>
      </c>
      <c r="N375" s="54">
        <v>8.69</v>
      </c>
      <c r="O375" s="55"/>
      <c r="P375" s="56"/>
      <c r="Q375" s="56"/>
      <c r="R375" s="56"/>
      <c r="S375" s="56"/>
      <c r="T375" s="57"/>
    </row>
    <row r="376" spans="1:20" ht="13.5" customHeight="1" x14ac:dyDescent="0.2">
      <c r="A376" s="53">
        <v>1902</v>
      </c>
      <c r="B376" s="54" t="s">
        <v>461</v>
      </c>
      <c r="C376" s="54">
        <v>6</v>
      </c>
      <c r="D376" s="54">
        <v>32.56</v>
      </c>
      <c r="E376" s="54">
        <v>32.840000000000003</v>
      </c>
      <c r="F376" s="54">
        <v>32.99</v>
      </c>
      <c r="G376" s="54">
        <v>33.14</v>
      </c>
      <c r="H376" s="54">
        <v>33.28</v>
      </c>
      <c r="I376" s="54">
        <v>33.43</v>
      </c>
      <c r="J376" s="54">
        <v>33.58</v>
      </c>
      <c r="K376" s="54">
        <v>33.729999999999997</v>
      </c>
      <c r="L376" s="54">
        <v>33.81</v>
      </c>
      <c r="M376" s="54">
        <v>34.130000000000003</v>
      </c>
      <c r="N376" s="54">
        <v>34.450000000000003</v>
      </c>
      <c r="O376" s="55"/>
      <c r="P376" s="56"/>
      <c r="Q376" s="56"/>
      <c r="R376" s="56"/>
      <c r="S376" s="56"/>
      <c r="T376" s="57"/>
    </row>
    <row r="377" spans="1:20" ht="13.5" customHeight="1" x14ac:dyDescent="0.2">
      <c r="A377" s="53">
        <v>1904</v>
      </c>
      <c r="B377" s="54" t="s">
        <v>462</v>
      </c>
      <c r="C377" s="54">
        <v>12</v>
      </c>
      <c r="D377" s="54">
        <v>38.49</v>
      </c>
      <c r="E377" s="54">
        <v>38.83</v>
      </c>
      <c r="F377" s="54">
        <v>39</v>
      </c>
      <c r="G377" s="54">
        <v>39.17</v>
      </c>
      <c r="H377" s="54">
        <v>39.340000000000003</v>
      </c>
      <c r="I377" s="54">
        <v>39.520000000000003</v>
      </c>
      <c r="J377" s="54">
        <v>39.69</v>
      </c>
      <c r="K377" s="54">
        <v>39.869999999999997</v>
      </c>
      <c r="L377" s="54">
        <v>39.97</v>
      </c>
      <c r="M377" s="54">
        <v>40.340000000000003</v>
      </c>
      <c r="N377" s="54">
        <v>40.729999999999997</v>
      </c>
      <c r="O377" s="55"/>
      <c r="P377" s="56"/>
      <c r="Q377" s="56"/>
      <c r="R377" s="56"/>
      <c r="S377" s="56"/>
      <c r="T377" s="57"/>
    </row>
    <row r="378" spans="1:20" ht="13.5" customHeight="1" x14ac:dyDescent="0.2">
      <c r="A378" s="53">
        <v>1907</v>
      </c>
      <c r="B378" s="54" t="s">
        <v>463</v>
      </c>
      <c r="C378" s="54">
        <v>12</v>
      </c>
      <c r="D378" s="54">
        <v>17.89</v>
      </c>
      <c r="E378" s="54">
        <v>18.05</v>
      </c>
      <c r="F378" s="54">
        <v>18.13</v>
      </c>
      <c r="G378" s="54">
        <v>18.21</v>
      </c>
      <c r="H378" s="54">
        <v>18.29</v>
      </c>
      <c r="I378" s="54">
        <v>18.37</v>
      </c>
      <c r="J378" s="54">
        <v>18.45</v>
      </c>
      <c r="K378" s="54">
        <v>18.53</v>
      </c>
      <c r="L378" s="54">
        <v>18.579999999999998</v>
      </c>
      <c r="M378" s="54">
        <v>18.75</v>
      </c>
      <c r="N378" s="54">
        <v>18.93</v>
      </c>
      <c r="O378" s="55"/>
      <c r="P378" s="56"/>
      <c r="Q378" s="56"/>
      <c r="R378" s="56"/>
      <c r="S378" s="56"/>
      <c r="T378" s="57"/>
    </row>
    <row r="379" spans="1:20" ht="13.5" customHeight="1" x14ac:dyDescent="0.2">
      <c r="A379" s="53">
        <v>1911</v>
      </c>
      <c r="B379" s="54" t="s">
        <v>464</v>
      </c>
      <c r="C379" s="54">
        <v>12</v>
      </c>
      <c r="D379" s="54">
        <v>32.31</v>
      </c>
      <c r="E379" s="54">
        <v>32.6</v>
      </c>
      <c r="F379" s="54">
        <v>32.74</v>
      </c>
      <c r="G379" s="54">
        <v>32.880000000000003</v>
      </c>
      <c r="H379" s="54">
        <v>33.03</v>
      </c>
      <c r="I379" s="54">
        <v>33.17</v>
      </c>
      <c r="J379" s="54">
        <v>33.32</v>
      </c>
      <c r="K379" s="54">
        <v>33.47</v>
      </c>
      <c r="L379" s="54">
        <v>33.549999999999997</v>
      </c>
      <c r="M379" s="54">
        <v>33.869999999999997</v>
      </c>
      <c r="N379" s="54">
        <v>34.19</v>
      </c>
      <c r="O379" s="55"/>
      <c r="P379" s="56"/>
      <c r="Q379" s="56"/>
      <c r="R379" s="56"/>
      <c r="S379" s="56"/>
      <c r="T379" s="57"/>
    </row>
    <row r="380" spans="1:20" ht="13.5" customHeight="1" x14ac:dyDescent="0.2">
      <c r="A380" s="53">
        <v>1912</v>
      </c>
      <c r="B380" s="54" t="s">
        <v>465</v>
      </c>
      <c r="C380" s="54">
        <v>12</v>
      </c>
      <c r="D380" s="54">
        <v>7.6</v>
      </c>
      <c r="E380" s="54">
        <v>7.66</v>
      </c>
      <c r="F380" s="54">
        <v>7.7</v>
      </c>
      <c r="G380" s="54">
        <v>7.73</v>
      </c>
      <c r="H380" s="54">
        <v>7.76</v>
      </c>
      <c r="I380" s="54">
        <v>7.8</v>
      </c>
      <c r="J380" s="54">
        <v>7.83</v>
      </c>
      <c r="K380" s="54">
        <v>7.87</v>
      </c>
      <c r="L380" s="54">
        <v>7.89</v>
      </c>
      <c r="M380" s="54">
        <v>7.96</v>
      </c>
      <c r="N380" s="54">
        <v>8.0399999999999991</v>
      </c>
      <c r="O380" s="55"/>
      <c r="P380" s="56"/>
      <c r="Q380" s="56"/>
      <c r="R380" s="56"/>
      <c r="S380" s="56"/>
      <c r="T380" s="57"/>
    </row>
    <row r="381" spans="1:20" ht="13.5" customHeight="1" x14ac:dyDescent="0.2">
      <c r="A381" s="53">
        <v>1921</v>
      </c>
      <c r="B381" s="54" t="s">
        <v>466</v>
      </c>
      <c r="C381" s="54">
        <v>24</v>
      </c>
      <c r="D381" s="54">
        <v>12.27</v>
      </c>
      <c r="E381" s="54">
        <v>12.38</v>
      </c>
      <c r="F381" s="54">
        <v>12.43</v>
      </c>
      <c r="G381" s="54">
        <v>12.49</v>
      </c>
      <c r="H381" s="54">
        <v>12.55</v>
      </c>
      <c r="I381" s="54">
        <v>12.6</v>
      </c>
      <c r="J381" s="54">
        <v>12.65</v>
      </c>
      <c r="K381" s="54">
        <v>12.71</v>
      </c>
      <c r="L381" s="54">
        <v>12.74</v>
      </c>
      <c r="M381" s="54">
        <v>12.87</v>
      </c>
      <c r="N381" s="54">
        <v>12.98</v>
      </c>
      <c r="O381" s="55"/>
      <c r="P381" s="56"/>
      <c r="Q381" s="56"/>
      <c r="R381" s="56"/>
      <c r="S381" s="56"/>
      <c r="T381" s="57"/>
    </row>
    <row r="382" spans="1:20" ht="13.5" customHeight="1" x14ac:dyDescent="0.2">
      <c r="A382" s="53">
        <v>1922</v>
      </c>
      <c r="B382" s="54" t="s">
        <v>467</v>
      </c>
      <c r="C382" s="54">
        <v>24</v>
      </c>
      <c r="D382" s="54">
        <v>13.7</v>
      </c>
      <c r="E382" s="54">
        <v>13.81</v>
      </c>
      <c r="F382" s="54">
        <v>13.88</v>
      </c>
      <c r="G382" s="54">
        <v>13.94</v>
      </c>
      <c r="H382" s="54">
        <v>14</v>
      </c>
      <c r="I382" s="54">
        <v>14.06</v>
      </c>
      <c r="J382" s="54">
        <v>14.12</v>
      </c>
      <c r="K382" s="54">
        <v>14.19</v>
      </c>
      <c r="L382" s="54">
        <v>14.22</v>
      </c>
      <c r="M382" s="54">
        <v>14.36</v>
      </c>
      <c r="N382" s="54">
        <v>14.49</v>
      </c>
      <c r="O382" s="55"/>
      <c r="P382" s="56"/>
      <c r="Q382" s="56"/>
      <c r="R382" s="56"/>
      <c r="S382" s="56"/>
      <c r="T382" s="57"/>
    </row>
    <row r="383" spans="1:20" ht="13.5" customHeight="1" x14ac:dyDescent="0.2">
      <c r="A383" s="53">
        <v>1924</v>
      </c>
      <c r="B383" s="54" t="s">
        <v>468</v>
      </c>
      <c r="C383" s="54">
        <v>6</v>
      </c>
      <c r="D383" s="54">
        <v>67.650000000000006</v>
      </c>
      <c r="E383" s="54">
        <v>68.25</v>
      </c>
      <c r="F383" s="54">
        <v>68.540000000000006</v>
      </c>
      <c r="G383" s="54">
        <v>68.84</v>
      </c>
      <c r="H383" s="54">
        <v>69.150000000000006</v>
      </c>
      <c r="I383" s="54">
        <v>69.45</v>
      </c>
      <c r="J383" s="54">
        <v>69.760000000000005</v>
      </c>
      <c r="K383" s="54">
        <v>70.069999999999993</v>
      </c>
      <c r="L383" s="54">
        <v>70.239999999999995</v>
      </c>
      <c r="M383" s="54">
        <v>70.91</v>
      </c>
      <c r="N383" s="54">
        <v>71.58</v>
      </c>
      <c r="O383" s="55"/>
      <c r="P383" s="56"/>
      <c r="Q383" s="56"/>
      <c r="R383" s="56"/>
      <c r="S383" s="56"/>
      <c r="T383" s="57"/>
    </row>
    <row r="384" spans="1:20" ht="13.5" customHeight="1" x14ac:dyDescent="0.2">
      <c r="A384" s="53">
        <v>1925</v>
      </c>
      <c r="B384" s="54" t="s">
        <v>469</v>
      </c>
      <c r="C384" s="54">
        <v>6</v>
      </c>
      <c r="D384" s="54">
        <v>67.650000000000006</v>
      </c>
      <c r="E384" s="54">
        <v>68.25</v>
      </c>
      <c r="F384" s="54">
        <v>68.540000000000006</v>
      </c>
      <c r="G384" s="54">
        <v>68.84</v>
      </c>
      <c r="H384" s="54">
        <v>69.150000000000006</v>
      </c>
      <c r="I384" s="54">
        <v>69.45</v>
      </c>
      <c r="J384" s="54">
        <v>69.760000000000005</v>
      </c>
      <c r="K384" s="54">
        <v>70.069999999999993</v>
      </c>
      <c r="L384" s="54">
        <v>70.239999999999995</v>
      </c>
      <c r="M384" s="54">
        <v>70.91</v>
      </c>
      <c r="N384" s="54">
        <v>71.58</v>
      </c>
      <c r="O384" s="55"/>
      <c r="P384" s="56"/>
      <c r="Q384" s="56"/>
      <c r="R384" s="56"/>
      <c r="S384" s="56"/>
      <c r="T384" s="57"/>
    </row>
    <row r="385" spans="1:20" ht="13.5" customHeight="1" x14ac:dyDescent="0.2">
      <c r="A385" s="53">
        <v>1926</v>
      </c>
      <c r="B385" s="54" t="s">
        <v>470</v>
      </c>
      <c r="C385" s="54">
        <v>6</v>
      </c>
      <c r="D385" s="54">
        <v>63.52</v>
      </c>
      <c r="E385" s="54">
        <v>64.08</v>
      </c>
      <c r="F385" s="54">
        <v>64.36</v>
      </c>
      <c r="G385" s="54">
        <v>64.64</v>
      </c>
      <c r="H385" s="54">
        <v>64.930000000000007</v>
      </c>
      <c r="I385" s="54">
        <v>65.209999999999994</v>
      </c>
      <c r="J385" s="54">
        <v>65.5</v>
      </c>
      <c r="K385" s="54">
        <v>65.790000000000006</v>
      </c>
      <c r="L385" s="54">
        <v>65.95</v>
      </c>
      <c r="M385" s="54">
        <v>66.58</v>
      </c>
      <c r="N385" s="54">
        <v>67.209999999999994</v>
      </c>
      <c r="O385" s="55"/>
      <c r="P385" s="56"/>
      <c r="Q385" s="56"/>
      <c r="R385" s="56"/>
      <c r="S385" s="56"/>
      <c r="T385" s="57"/>
    </row>
    <row r="386" spans="1:20" ht="13.5" customHeight="1" x14ac:dyDescent="0.2">
      <c r="A386" s="53">
        <v>1942</v>
      </c>
      <c r="B386" s="54" t="s">
        <v>471</v>
      </c>
      <c r="C386" s="54">
        <v>1</v>
      </c>
      <c r="D386" s="54">
        <v>212.5</v>
      </c>
      <c r="E386" s="54">
        <v>214.38</v>
      </c>
      <c r="F386" s="54">
        <v>215.32</v>
      </c>
      <c r="G386" s="54">
        <v>216.27</v>
      </c>
      <c r="H386" s="54">
        <v>217.22</v>
      </c>
      <c r="I386" s="54">
        <v>218.18</v>
      </c>
      <c r="J386" s="54">
        <v>219.13</v>
      </c>
      <c r="K386" s="54">
        <v>220.1</v>
      </c>
      <c r="L386" s="54">
        <v>220.66</v>
      </c>
      <c r="M386" s="54">
        <v>222.74</v>
      </c>
      <c r="N386" s="54">
        <v>224.85</v>
      </c>
      <c r="O386" s="55"/>
      <c r="P386" s="56"/>
      <c r="Q386" s="56"/>
      <c r="R386" s="56"/>
      <c r="S386" s="56"/>
      <c r="T386" s="57"/>
    </row>
    <row r="387" spans="1:20" ht="13.5" customHeight="1" x14ac:dyDescent="0.2">
      <c r="A387" s="53">
        <v>1944</v>
      </c>
      <c r="B387" s="54" t="s">
        <v>472</v>
      </c>
      <c r="C387" s="54">
        <v>10</v>
      </c>
      <c r="D387" s="54">
        <v>8.91</v>
      </c>
      <c r="E387" s="54">
        <v>8.99</v>
      </c>
      <c r="F387" s="54">
        <v>9.0299999999999994</v>
      </c>
      <c r="G387" s="54">
        <v>9.07</v>
      </c>
      <c r="H387" s="54">
        <v>9.11</v>
      </c>
      <c r="I387" s="54">
        <v>9.15</v>
      </c>
      <c r="J387" s="54">
        <v>9.19</v>
      </c>
      <c r="K387" s="54">
        <v>9.23</v>
      </c>
      <c r="L387" s="54">
        <v>9.25</v>
      </c>
      <c r="M387" s="54">
        <v>9.34</v>
      </c>
      <c r="N387" s="54">
        <v>9.43</v>
      </c>
      <c r="O387" s="55"/>
      <c r="P387" s="56"/>
      <c r="Q387" s="56"/>
      <c r="R387" s="56"/>
      <c r="S387" s="56"/>
      <c r="T387" s="57"/>
    </row>
    <row r="388" spans="1:20" ht="13.5" customHeight="1" x14ac:dyDescent="0.2">
      <c r="A388" s="53">
        <v>1946</v>
      </c>
      <c r="B388" s="54" t="s">
        <v>473</v>
      </c>
      <c r="C388" s="54">
        <v>12</v>
      </c>
      <c r="D388" s="54">
        <v>11.65</v>
      </c>
      <c r="E388" s="54">
        <v>11.76</v>
      </c>
      <c r="F388" s="54">
        <v>11.81</v>
      </c>
      <c r="G388" s="54">
        <v>11.86</v>
      </c>
      <c r="H388" s="54">
        <v>11.91</v>
      </c>
      <c r="I388" s="54">
        <v>11.96</v>
      </c>
      <c r="J388" s="54">
        <v>12.01</v>
      </c>
      <c r="K388" s="54">
        <v>12.07</v>
      </c>
      <c r="L388" s="54">
        <v>12.1</v>
      </c>
      <c r="M388" s="54">
        <v>12.22</v>
      </c>
      <c r="N388" s="54">
        <v>12.33</v>
      </c>
      <c r="O388" s="55"/>
      <c r="P388" s="56"/>
      <c r="Q388" s="56"/>
      <c r="R388" s="56"/>
      <c r="S388" s="56"/>
      <c r="T388" s="57"/>
    </row>
    <row r="389" spans="1:20" ht="13.5" customHeight="1" x14ac:dyDescent="0.2">
      <c r="A389" s="53">
        <v>1948</v>
      </c>
      <c r="B389" s="54" t="s">
        <v>474</v>
      </c>
      <c r="C389" s="54">
        <v>8</v>
      </c>
      <c r="D389" s="54">
        <v>13.57</v>
      </c>
      <c r="E389" s="54">
        <v>13.7</v>
      </c>
      <c r="F389" s="54">
        <v>13.75</v>
      </c>
      <c r="G389" s="54">
        <v>13.81</v>
      </c>
      <c r="H389" s="54">
        <v>13.88</v>
      </c>
      <c r="I389" s="54">
        <v>13.93</v>
      </c>
      <c r="J389" s="54">
        <v>13.99</v>
      </c>
      <c r="K389" s="54">
        <v>14.06</v>
      </c>
      <c r="L389" s="54">
        <v>14.09</v>
      </c>
      <c r="M389" s="54">
        <v>14.23</v>
      </c>
      <c r="N389" s="54">
        <v>14.36</v>
      </c>
      <c r="O389" s="55"/>
      <c r="P389" s="56"/>
      <c r="Q389" s="56"/>
      <c r="R389" s="56"/>
      <c r="S389" s="56"/>
      <c r="T389" s="57"/>
    </row>
    <row r="390" spans="1:20" ht="13.5" customHeight="1" x14ac:dyDescent="0.2">
      <c r="A390" s="53">
        <v>1962</v>
      </c>
      <c r="B390" s="54" t="s">
        <v>475</v>
      </c>
      <c r="C390" s="54">
        <v>6</v>
      </c>
      <c r="D390" s="54">
        <v>55.18</v>
      </c>
      <c r="E390" s="54">
        <v>55.67</v>
      </c>
      <c r="F390" s="54">
        <v>55.91</v>
      </c>
      <c r="G390" s="54">
        <v>56.16</v>
      </c>
      <c r="H390" s="54">
        <v>56.4</v>
      </c>
      <c r="I390" s="54">
        <v>56.66</v>
      </c>
      <c r="J390" s="54">
        <v>56.9</v>
      </c>
      <c r="K390" s="54">
        <v>57.16</v>
      </c>
      <c r="L390" s="54">
        <v>57.3</v>
      </c>
      <c r="M390" s="54">
        <v>57.84</v>
      </c>
      <c r="N390" s="54">
        <v>58.38</v>
      </c>
      <c r="O390" s="55"/>
      <c r="P390" s="56"/>
      <c r="Q390" s="56"/>
      <c r="R390" s="56"/>
      <c r="S390" s="56"/>
      <c r="T390" s="57"/>
    </row>
    <row r="391" spans="1:20" ht="13.5" customHeight="1" x14ac:dyDescent="0.2">
      <c r="A391" s="53">
        <v>1963</v>
      </c>
      <c r="B391" s="54" t="s">
        <v>476</v>
      </c>
      <c r="C391" s="54">
        <v>6</v>
      </c>
      <c r="D391" s="54">
        <v>46.33</v>
      </c>
      <c r="E391" s="54">
        <v>46.73</v>
      </c>
      <c r="F391" s="54">
        <v>46.93</v>
      </c>
      <c r="G391" s="54">
        <v>47.15</v>
      </c>
      <c r="H391" s="54">
        <v>47.35</v>
      </c>
      <c r="I391" s="54">
        <v>47.56</v>
      </c>
      <c r="J391" s="54">
        <v>47.78</v>
      </c>
      <c r="K391" s="54">
        <v>47.98</v>
      </c>
      <c r="L391" s="54">
        <v>48.11</v>
      </c>
      <c r="M391" s="54">
        <v>48.55</v>
      </c>
      <c r="N391" s="54">
        <v>49.01</v>
      </c>
      <c r="O391" s="55"/>
      <c r="P391" s="56"/>
      <c r="Q391" s="56"/>
      <c r="R391" s="56"/>
      <c r="S391" s="56"/>
      <c r="T391" s="57"/>
    </row>
    <row r="392" spans="1:20" ht="13.5" customHeight="1" x14ac:dyDescent="0.2">
      <c r="A392" s="53">
        <v>1964</v>
      </c>
      <c r="B392" s="54" t="s">
        <v>477</v>
      </c>
      <c r="C392" s="54">
        <v>6</v>
      </c>
      <c r="D392" s="54">
        <v>39.36</v>
      </c>
      <c r="E392" s="54">
        <v>39.700000000000003</v>
      </c>
      <c r="F392" s="54">
        <v>39.880000000000003</v>
      </c>
      <c r="G392" s="54">
        <v>40.049999999999997</v>
      </c>
      <c r="H392" s="54">
        <v>40.24</v>
      </c>
      <c r="I392" s="54">
        <v>40.42</v>
      </c>
      <c r="J392" s="54">
        <v>40.590000000000003</v>
      </c>
      <c r="K392" s="54">
        <v>40.770000000000003</v>
      </c>
      <c r="L392" s="54">
        <v>40.869999999999997</v>
      </c>
      <c r="M392" s="54">
        <v>41.26</v>
      </c>
      <c r="N392" s="54">
        <v>41.65</v>
      </c>
      <c r="O392" s="55"/>
      <c r="P392" s="56"/>
      <c r="Q392" s="56"/>
      <c r="R392" s="56"/>
      <c r="S392" s="56"/>
      <c r="T392" s="57"/>
    </row>
    <row r="393" spans="1:20" ht="13.5" customHeight="1" x14ac:dyDescent="0.2">
      <c r="A393" s="53">
        <v>1965</v>
      </c>
      <c r="B393" s="54" t="s">
        <v>478</v>
      </c>
      <c r="C393" s="54">
        <v>6</v>
      </c>
      <c r="D393" s="54">
        <v>42.87</v>
      </c>
      <c r="E393" s="54">
        <v>43.25</v>
      </c>
      <c r="F393" s="54">
        <v>43.44</v>
      </c>
      <c r="G393" s="54">
        <v>43.63</v>
      </c>
      <c r="H393" s="54">
        <v>43.82</v>
      </c>
      <c r="I393" s="54">
        <v>44.02</v>
      </c>
      <c r="J393" s="54">
        <v>44.21</v>
      </c>
      <c r="K393" s="54">
        <v>44.4</v>
      </c>
      <c r="L393" s="54">
        <v>44.52</v>
      </c>
      <c r="M393" s="54">
        <v>44.93</v>
      </c>
      <c r="N393" s="54">
        <v>45.36</v>
      </c>
      <c r="O393" s="55"/>
      <c r="P393" s="56"/>
      <c r="Q393" s="56"/>
      <c r="R393" s="56"/>
      <c r="S393" s="56"/>
      <c r="T393" s="57"/>
    </row>
    <row r="394" spans="1:20" ht="13.5" customHeight="1" x14ac:dyDescent="0.2">
      <c r="A394" s="53">
        <v>1969</v>
      </c>
      <c r="B394" s="54" t="s">
        <v>479</v>
      </c>
      <c r="C394" s="54">
        <v>12</v>
      </c>
      <c r="D394" s="54">
        <v>27.29</v>
      </c>
      <c r="E394" s="54">
        <v>27.52</v>
      </c>
      <c r="F394" s="54">
        <v>27.65</v>
      </c>
      <c r="G394" s="54">
        <v>27.76</v>
      </c>
      <c r="H394" s="54">
        <v>27.89</v>
      </c>
      <c r="I394" s="54">
        <v>28.01</v>
      </c>
      <c r="J394" s="54">
        <v>28.14</v>
      </c>
      <c r="K394" s="54">
        <v>28.25</v>
      </c>
      <c r="L394" s="54">
        <v>28.33</v>
      </c>
      <c r="M394" s="54">
        <v>28.6</v>
      </c>
      <c r="N394" s="54">
        <v>28.87</v>
      </c>
      <c r="O394" s="55"/>
      <c r="P394" s="56"/>
      <c r="Q394" s="56"/>
      <c r="R394" s="56"/>
      <c r="S394" s="56"/>
      <c r="T394" s="57"/>
    </row>
    <row r="395" spans="1:20" ht="13.5" customHeight="1" x14ac:dyDescent="0.2">
      <c r="A395" s="53">
        <v>1970</v>
      </c>
      <c r="B395" s="54" t="s">
        <v>480</v>
      </c>
      <c r="C395" s="54">
        <v>12</v>
      </c>
      <c r="D395" s="54">
        <v>17.309999999999999</v>
      </c>
      <c r="E395" s="54">
        <v>17.46</v>
      </c>
      <c r="F395" s="54">
        <v>17.53</v>
      </c>
      <c r="G395" s="54">
        <v>17.600000000000001</v>
      </c>
      <c r="H395" s="54">
        <v>17.690000000000001</v>
      </c>
      <c r="I395" s="54">
        <v>17.760000000000002</v>
      </c>
      <c r="J395" s="54">
        <v>17.84</v>
      </c>
      <c r="K395" s="54">
        <v>17.920000000000002</v>
      </c>
      <c r="L395" s="54">
        <v>17.97</v>
      </c>
      <c r="M395" s="54">
        <v>18.14</v>
      </c>
      <c r="N395" s="54">
        <v>18.309999999999999</v>
      </c>
      <c r="O395" s="55"/>
      <c r="P395" s="56"/>
      <c r="Q395" s="56"/>
      <c r="R395" s="56"/>
      <c r="S395" s="56"/>
      <c r="T395" s="57"/>
    </row>
    <row r="396" spans="1:20" ht="13.5" customHeight="1" x14ac:dyDescent="0.2">
      <c r="A396" s="53">
        <v>1971</v>
      </c>
      <c r="B396" s="54" t="s">
        <v>480</v>
      </c>
      <c r="C396" s="54">
        <v>12</v>
      </c>
      <c r="D396" s="54">
        <v>19.25</v>
      </c>
      <c r="E396" s="54">
        <v>19.41</v>
      </c>
      <c r="F396" s="54">
        <v>19.5</v>
      </c>
      <c r="G396" s="54">
        <v>19.59</v>
      </c>
      <c r="H396" s="54">
        <v>19.670000000000002</v>
      </c>
      <c r="I396" s="54">
        <v>19.760000000000002</v>
      </c>
      <c r="J396" s="54">
        <v>19.850000000000001</v>
      </c>
      <c r="K396" s="54">
        <v>19.93</v>
      </c>
      <c r="L396" s="54">
        <v>19.98</v>
      </c>
      <c r="M396" s="54">
        <v>20.170000000000002</v>
      </c>
      <c r="N396" s="54">
        <v>20.36</v>
      </c>
      <c r="O396" s="55"/>
      <c r="P396" s="56"/>
      <c r="Q396" s="56"/>
      <c r="R396" s="56"/>
      <c r="S396" s="56"/>
      <c r="T396" s="57"/>
    </row>
    <row r="397" spans="1:20" ht="13.5" customHeight="1" x14ac:dyDescent="0.2">
      <c r="A397" s="53">
        <v>1972</v>
      </c>
      <c r="B397" s="54" t="s">
        <v>481</v>
      </c>
      <c r="C397" s="54">
        <v>12</v>
      </c>
      <c r="D397" s="54">
        <v>24.76</v>
      </c>
      <c r="E397" s="54">
        <v>24.97</v>
      </c>
      <c r="F397" s="54">
        <v>25.09</v>
      </c>
      <c r="G397" s="54">
        <v>25.2</v>
      </c>
      <c r="H397" s="54">
        <v>25.3</v>
      </c>
      <c r="I397" s="54">
        <v>25.42</v>
      </c>
      <c r="J397" s="54">
        <v>25.53</v>
      </c>
      <c r="K397" s="54">
        <v>25.65</v>
      </c>
      <c r="L397" s="54">
        <v>25.71</v>
      </c>
      <c r="M397" s="54">
        <v>25.95</v>
      </c>
      <c r="N397" s="54">
        <v>26.2</v>
      </c>
      <c r="O397" s="55"/>
      <c r="P397" s="56"/>
      <c r="Q397" s="56"/>
      <c r="R397" s="56"/>
      <c r="S397" s="56"/>
      <c r="T397" s="57"/>
    </row>
    <row r="398" spans="1:20" ht="13.5" customHeight="1" x14ac:dyDescent="0.2">
      <c r="A398" s="53">
        <v>1973</v>
      </c>
      <c r="B398" s="54" t="s">
        <v>482</v>
      </c>
      <c r="C398" s="54">
        <v>12</v>
      </c>
      <c r="D398" s="54">
        <v>15.08</v>
      </c>
      <c r="E398" s="54">
        <v>15.22</v>
      </c>
      <c r="F398" s="54">
        <v>15.28</v>
      </c>
      <c r="G398" s="54">
        <v>15.35</v>
      </c>
      <c r="H398" s="54">
        <v>15.41</v>
      </c>
      <c r="I398" s="54">
        <v>15.49</v>
      </c>
      <c r="J398" s="54">
        <v>15.55</v>
      </c>
      <c r="K398" s="54">
        <v>15.62</v>
      </c>
      <c r="L398" s="54">
        <v>15.66</v>
      </c>
      <c r="M398" s="54">
        <v>15.8</v>
      </c>
      <c r="N398" s="54">
        <v>15.95</v>
      </c>
      <c r="O398" s="55"/>
      <c r="P398" s="56"/>
      <c r="Q398" s="56"/>
      <c r="R398" s="56"/>
      <c r="S398" s="56"/>
      <c r="T398" s="57"/>
    </row>
    <row r="399" spans="1:20" ht="13.5" customHeight="1" x14ac:dyDescent="0.2">
      <c r="A399" s="53">
        <v>1974</v>
      </c>
      <c r="B399" s="54" t="s">
        <v>483</v>
      </c>
      <c r="C399" s="54">
        <v>12</v>
      </c>
      <c r="D399" s="54">
        <v>16.32</v>
      </c>
      <c r="E399" s="54">
        <v>16.45</v>
      </c>
      <c r="F399" s="54">
        <v>16.53</v>
      </c>
      <c r="G399" s="54">
        <v>16.600000000000001</v>
      </c>
      <c r="H399" s="54">
        <v>16.68</v>
      </c>
      <c r="I399" s="54">
        <v>16.75</v>
      </c>
      <c r="J399" s="54">
        <v>16.829999999999998</v>
      </c>
      <c r="K399" s="54">
        <v>16.899999999999999</v>
      </c>
      <c r="L399" s="54">
        <v>16.940000000000001</v>
      </c>
      <c r="M399" s="54">
        <v>17.100000000000001</v>
      </c>
      <c r="N399" s="54">
        <v>17.260000000000002</v>
      </c>
      <c r="O399" s="55"/>
      <c r="P399" s="56"/>
      <c r="Q399" s="56"/>
      <c r="R399" s="56"/>
      <c r="S399" s="56"/>
      <c r="T399" s="57"/>
    </row>
    <row r="400" spans="1:20" ht="13.5" customHeight="1" x14ac:dyDescent="0.2">
      <c r="A400" s="53">
        <v>1975</v>
      </c>
      <c r="B400" s="54" t="s">
        <v>484</v>
      </c>
      <c r="C400" s="54">
        <v>12</v>
      </c>
      <c r="D400" s="54">
        <v>21.86</v>
      </c>
      <c r="E400" s="54">
        <v>22.06</v>
      </c>
      <c r="F400" s="54">
        <v>22.15</v>
      </c>
      <c r="G400" s="54">
        <v>22.26</v>
      </c>
      <c r="H400" s="54">
        <v>22.35</v>
      </c>
      <c r="I400" s="54">
        <v>22.45</v>
      </c>
      <c r="J400" s="54">
        <v>22.55</v>
      </c>
      <c r="K400" s="54">
        <v>22.65</v>
      </c>
      <c r="L400" s="54">
        <v>22.71</v>
      </c>
      <c r="M400" s="54">
        <v>22.92</v>
      </c>
      <c r="N400" s="54">
        <v>23.14</v>
      </c>
      <c r="O400" s="55"/>
      <c r="P400" s="56"/>
      <c r="Q400" s="56"/>
      <c r="R400" s="56"/>
      <c r="S400" s="56"/>
      <c r="T400" s="57"/>
    </row>
    <row r="401" spans="1:20" ht="13.5" customHeight="1" x14ac:dyDescent="0.2">
      <c r="A401" s="53">
        <v>1976</v>
      </c>
      <c r="B401" s="54" t="s">
        <v>485</v>
      </c>
      <c r="C401" s="54">
        <v>12</v>
      </c>
      <c r="D401" s="54">
        <v>39.619999999999997</v>
      </c>
      <c r="E401" s="54">
        <v>39.97</v>
      </c>
      <c r="F401" s="54">
        <v>40.15</v>
      </c>
      <c r="G401" s="54">
        <v>40.32</v>
      </c>
      <c r="H401" s="54">
        <v>40.5</v>
      </c>
      <c r="I401" s="54">
        <v>40.68</v>
      </c>
      <c r="J401" s="54">
        <v>40.85</v>
      </c>
      <c r="K401" s="54">
        <v>41.03</v>
      </c>
      <c r="L401" s="54">
        <v>41.14</v>
      </c>
      <c r="M401" s="54">
        <v>41.54</v>
      </c>
      <c r="N401" s="54">
        <v>41.92</v>
      </c>
      <c r="O401" s="55"/>
      <c r="P401" s="56"/>
      <c r="Q401" s="56"/>
      <c r="R401" s="56"/>
      <c r="S401" s="56"/>
      <c r="T401" s="57"/>
    </row>
    <row r="402" spans="1:20" ht="13.5" customHeight="1" x14ac:dyDescent="0.2">
      <c r="A402" s="53">
        <v>1977</v>
      </c>
      <c r="B402" s="54" t="s">
        <v>486</v>
      </c>
      <c r="C402" s="54">
        <v>12</v>
      </c>
      <c r="D402" s="54">
        <v>34.130000000000003</v>
      </c>
      <c r="E402" s="54">
        <v>34.44</v>
      </c>
      <c r="F402" s="54">
        <v>34.590000000000003</v>
      </c>
      <c r="G402" s="54">
        <v>34.74</v>
      </c>
      <c r="H402" s="54">
        <v>34.9</v>
      </c>
      <c r="I402" s="54">
        <v>35.049999999999997</v>
      </c>
      <c r="J402" s="54">
        <v>35.200000000000003</v>
      </c>
      <c r="K402" s="54">
        <v>35.36</v>
      </c>
      <c r="L402" s="54">
        <v>35.44</v>
      </c>
      <c r="M402" s="54">
        <v>35.78</v>
      </c>
      <c r="N402" s="54">
        <v>36.119999999999997</v>
      </c>
      <c r="O402" s="55"/>
      <c r="P402" s="56"/>
      <c r="Q402" s="56"/>
      <c r="R402" s="56"/>
      <c r="S402" s="56"/>
      <c r="T402" s="57"/>
    </row>
    <row r="403" spans="1:20" ht="13.5" customHeight="1" x14ac:dyDescent="0.2">
      <c r="A403" s="53">
        <v>1978</v>
      </c>
      <c r="B403" s="54" t="s">
        <v>487</v>
      </c>
      <c r="C403" s="54">
        <v>12</v>
      </c>
      <c r="D403" s="54">
        <v>38.119999999999997</v>
      </c>
      <c r="E403" s="54">
        <v>38.450000000000003</v>
      </c>
      <c r="F403" s="54">
        <v>38.619999999999997</v>
      </c>
      <c r="G403" s="54">
        <v>38.79</v>
      </c>
      <c r="H403" s="54">
        <v>38.96</v>
      </c>
      <c r="I403" s="54">
        <v>39.130000000000003</v>
      </c>
      <c r="J403" s="54">
        <v>39.299999999999997</v>
      </c>
      <c r="K403" s="54">
        <v>39.479999999999997</v>
      </c>
      <c r="L403" s="54">
        <v>39.58</v>
      </c>
      <c r="M403" s="54">
        <v>39.950000000000003</v>
      </c>
      <c r="N403" s="54">
        <v>40.33</v>
      </c>
      <c r="O403" s="55"/>
      <c r="P403" s="56"/>
      <c r="Q403" s="56"/>
      <c r="R403" s="56"/>
      <c r="S403" s="56"/>
      <c r="T403" s="57"/>
    </row>
    <row r="404" spans="1:20" ht="13.5" customHeight="1" x14ac:dyDescent="0.2">
      <c r="A404" s="53" t="s">
        <v>488</v>
      </c>
      <c r="B404" s="54" t="s">
        <v>489</v>
      </c>
      <c r="C404" s="54">
        <v>12</v>
      </c>
      <c r="D404" s="54">
        <v>8.2100000000000009</v>
      </c>
      <c r="E404" s="54">
        <v>8.2899999999999991</v>
      </c>
      <c r="F404" s="54">
        <v>8.32</v>
      </c>
      <c r="G404" s="54">
        <v>8.36</v>
      </c>
      <c r="H404" s="54">
        <v>8.39</v>
      </c>
      <c r="I404" s="54">
        <v>8.43</v>
      </c>
      <c r="J404" s="54">
        <v>8.4700000000000006</v>
      </c>
      <c r="K404" s="54">
        <v>8.51</v>
      </c>
      <c r="L404" s="54">
        <v>8.5299999999999994</v>
      </c>
      <c r="M404" s="54">
        <v>8.61</v>
      </c>
      <c r="N404" s="54">
        <v>8.69</v>
      </c>
      <c r="O404" s="55"/>
      <c r="P404" s="56"/>
      <c r="Q404" s="56"/>
      <c r="R404" s="56"/>
      <c r="S404" s="56"/>
      <c r="T404" s="57"/>
    </row>
    <row r="405" spans="1:20" ht="13.5" customHeight="1" x14ac:dyDescent="0.2">
      <c r="A405" s="53" t="s">
        <v>490</v>
      </c>
      <c r="B405" s="54" t="s">
        <v>491</v>
      </c>
      <c r="C405" s="54">
        <v>12</v>
      </c>
      <c r="D405" s="54">
        <v>6.84</v>
      </c>
      <c r="E405" s="54">
        <v>6.9</v>
      </c>
      <c r="F405" s="54">
        <v>6.93</v>
      </c>
      <c r="G405" s="54">
        <v>6.97</v>
      </c>
      <c r="H405" s="54">
        <v>7</v>
      </c>
      <c r="I405" s="54">
        <v>7.03</v>
      </c>
      <c r="J405" s="54">
        <v>7.05</v>
      </c>
      <c r="K405" s="54">
        <v>7.08</v>
      </c>
      <c r="L405" s="54">
        <v>7.1</v>
      </c>
      <c r="M405" s="54">
        <v>7.17</v>
      </c>
      <c r="N405" s="54">
        <v>7.24</v>
      </c>
      <c r="O405" s="55"/>
      <c r="P405" s="56"/>
      <c r="Q405" s="56"/>
      <c r="R405" s="56"/>
      <c r="S405" s="56"/>
      <c r="T405" s="57"/>
    </row>
    <row r="406" spans="1:20" ht="13.5" customHeight="1" x14ac:dyDescent="0.2">
      <c r="A406" s="53" t="s">
        <v>492</v>
      </c>
      <c r="B406" s="54" t="s">
        <v>493</v>
      </c>
      <c r="C406" s="54">
        <v>12</v>
      </c>
      <c r="D406" s="54">
        <v>5.47</v>
      </c>
      <c r="E406" s="54">
        <v>5.52</v>
      </c>
      <c r="F406" s="54">
        <v>5.54</v>
      </c>
      <c r="G406" s="54">
        <v>5.57</v>
      </c>
      <c r="H406" s="54">
        <v>5.59</v>
      </c>
      <c r="I406" s="54">
        <v>5.61</v>
      </c>
      <c r="J406" s="54">
        <v>5.64</v>
      </c>
      <c r="K406" s="54">
        <v>5.67</v>
      </c>
      <c r="L406" s="54">
        <v>5.68</v>
      </c>
      <c r="M406" s="54">
        <v>5.73</v>
      </c>
      <c r="N406" s="54">
        <v>5.78</v>
      </c>
      <c r="O406" s="55"/>
      <c r="P406" s="56"/>
      <c r="Q406" s="56"/>
      <c r="R406" s="56"/>
      <c r="S406" s="56"/>
      <c r="T406" s="57"/>
    </row>
    <row r="407" spans="1:20" ht="13.5" customHeight="1" x14ac:dyDescent="0.2">
      <c r="A407" s="53" t="s">
        <v>494</v>
      </c>
      <c r="B407" s="54" t="s">
        <v>458</v>
      </c>
      <c r="C407" s="54">
        <v>20</v>
      </c>
      <c r="D407" s="54">
        <v>6.16</v>
      </c>
      <c r="E407" s="54">
        <v>6.21</v>
      </c>
      <c r="F407" s="54">
        <v>6.24</v>
      </c>
      <c r="G407" s="54">
        <v>6.26</v>
      </c>
      <c r="H407" s="54">
        <v>6.29</v>
      </c>
      <c r="I407" s="54">
        <v>6.32</v>
      </c>
      <c r="J407" s="54">
        <v>6.35</v>
      </c>
      <c r="K407" s="54">
        <v>6.38</v>
      </c>
      <c r="L407" s="54">
        <v>6.39</v>
      </c>
      <c r="M407" s="54">
        <v>6.45</v>
      </c>
      <c r="N407" s="54">
        <v>6.52</v>
      </c>
      <c r="O407" s="55"/>
      <c r="P407" s="56"/>
      <c r="Q407" s="56"/>
      <c r="R407" s="56"/>
      <c r="S407" s="56"/>
      <c r="T407" s="57"/>
    </row>
    <row r="408" spans="1:20" ht="13.5" customHeight="1" x14ac:dyDescent="0.2">
      <c r="A408" s="53" t="s">
        <v>495</v>
      </c>
      <c r="B408" s="54" t="s">
        <v>496</v>
      </c>
      <c r="C408" s="54">
        <v>18</v>
      </c>
      <c r="D408" s="54">
        <v>6.84</v>
      </c>
      <c r="E408" s="54">
        <v>6.9</v>
      </c>
      <c r="F408" s="54">
        <v>6.93</v>
      </c>
      <c r="G408" s="54">
        <v>6.97</v>
      </c>
      <c r="H408" s="54">
        <v>7</v>
      </c>
      <c r="I408" s="54">
        <v>7.03</v>
      </c>
      <c r="J408" s="54">
        <v>7.05</v>
      </c>
      <c r="K408" s="54">
        <v>7.08</v>
      </c>
      <c r="L408" s="54">
        <v>7.1</v>
      </c>
      <c r="M408" s="54">
        <v>7.17</v>
      </c>
      <c r="N408" s="54">
        <v>7.24</v>
      </c>
      <c r="O408" s="55"/>
      <c r="P408" s="56"/>
      <c r="Q408" s="56"/>
      <c r="R408" s="56"/>
      <c r="S408" s="56"/>
      <c r="T408" s="57"/>
    </row>
    <row r="409" spans="1:20" ht="13.5" customHeight="1" x14ac:dyDescent="0.2">
      <c r="A409" s="53" t="s">
        <v>497</v>
      </c>
      <c r="B409" s="54" t="s">
        <v>498</v>
      </c>
      <c r="C409" s="54">
        <v>12</v>
      </c>
      <c r="D409" s="54">
        <v>5.47</v>
      </c>
      <c r="E409" s="54">
        <v>5.52</v>
      </c>
      <c r="F409" s="54">
        <v>5.54</v>
      </c>
      <c r="G409" s="54">
        <v>5.57</v>
      </c>
      <c r="H409" s="54">
        <v>5.59</v>
      </c>
      <c r="I409" s="54">
        <v>5.61</v>
      </c>
      <c r="J409" s="54">
        <v>5.64</v>
      </c>
      <c r="K409" s="54">
        <v>5.67</v>
      </c>
      <c r="L409" s="54">
        <v>5.68</v>
      </c>
      <c r="M409" s="54">
        <v>5.73</v>
      </c>
      <c r="N409" s="54">
        <v>5.78</v>
      </c>
      <c r="O409" s="55"/>
      <c r="P409" s="56"/>
      <c r="Q409" s="56"/>
      <c r="R409" s="56"/>
      <c r="S409" s="56"/>
      <c r="T409" s="57"/>
    </row>
    <row r="410" spans="1:20" ht="13.5" customHeight="1" x14ac:dyDescent="0.2">
      <c r="A410" s="53" t="s">
        <v>499</v>
      </c>
      <c r="B410" s="54" t="s">
        <v>500</v>
      </c>
      <c r="C410" s="54">
        <v>24</v>
      </c>
      <c r="D410" s="54">
        <v>6.43</v>
      </c>
      <c r="E410" s="54">
        <v>6.49</v>
      </c>
      <c r="F410" s="54">
        <v>6.52</v>
      </c>
      <c r="G410" s="54">
        <v>6.54</v>
      </c>
      <c r="H410" s="54">
        <v>6.57</v>
      </c>
      <c r="I410" s="54">
        <v>6.6</v>
      </c>
      <c r="J410" s="54">
        <v>6.63</v>
      </c>
      <c r="K410" s="54">
        <v>6.66</v>
      </c>
      <c r="L410" s="54">
        <v>6.68</v>
      </c>
      <c r="M410" s="54">
        <v>6.74</v>
      </c>
      <c r="N410" s="54">
        <v>6.81</v>
      </c>
      <c r="O410" s="55"/>
      <c r="P410" s="56"/>
      <c r="Q410" s="56"/>
      <c r="R410" s="56"/>
      <c r="S410" s="56"/>
      <c r="T410" s="57"/>
    </row>
    <row r="411" spans="1:20" ht="13.5" customHeight="1" x14ac:dyDescent="0.2">
      <c r="A411" s="53" t="s">
        <v>501</v>
      </c>
      <c r="B411" s="54" t="s">
        <v>502</v>
      </c>
      <c r="C411" s="54">
        <v>15</v>
      </c>
      <c r="D411" s="54">
        <v>5.41</v>
      </c>
      <c r="E411" s="54">
        <v>5.46</v>
      </c>
      <c r="F411" s="54">
        <v>5.48</v>
      </c>
      <c r="G411" s="54">
        <v>5.51</v>
      </c>
      <c r="H411" s="54">
        <v>5.54</v>
      </c>
      <c r="I411" s="54">
        <v>5.56</v>
      </c>
      <c r="J411" s="54">
        <v>5.58</v>
      </c>
      <c r="K411" s="54">
        <v>5.61</v>
      </c>
      <c r="L411" s="54">
        <v>5.62</v>
      </c>
      <c r="M411" s="54">
        <v>5.68</v>
      </c>
      <c r="N411" s="54">
        <v>5.73</v>
      </c>
      <c r="O411" s="55"/>
      <c r="P411" s="56"/>
      <c r="Q411" s="56"/>
      <c r="R411" s="56"/>
      <c r="S411" s="56"/>
      <c r="T411" s="57"/>
    </row>
    <row r="412" spans="1:20" ht="13.5" customHeight="1" x14ac:dyDescent="0.2">
      <c r="A412" s="53" t="s">
        <v>503</v>
      </c>
      <c r="B412" s="54" t="s">
        <v>504</v>
      </c>
      <c r="C412" s="54">
        <v>24</v>
      </c>
      <c r="D412" s="54">
        <v>4.8</v>
      </c>
      <c r="E412" s="54">
        <v>4.8499999999999996</v>
      </c>
      <c r="F412" s="54">
        <v>4.87</v>
      </c>
      <c r="G412" s="54">
        <v>4.8899999999999997</v>
      </c>
      <c r="H412" s="54">
        <v>4.91</v>
      </c>
      <c r="I412" s="54">
        <v>4.93</v>
      </c>
      <c r="J412" s="54">
        <v>4.95</v>
      </c>
      <c r="K412" s="54">
        <v>4.97</v>
      </c>
      <c r="L412" s="54">
        <v>4.9800000000000004</v>
      </c>
      <c r="M412" s="54">
        <v>5.03</v>
      </c>
      <c r="N412" s="54">
        <v>5.08</v>
      </c>
      <c r="O412" s="55"/>
      <c r="P412" s="56"/>
      <c r="Q412" s="56"/>
      <c r="R412" s="56"/>
      <c r="S412" s="56"/>
      <c r="T412" s="57"/>
    </row>
    <row r="413" spans="1:20" ht="13.5" customHeight="1" x14ac:dyDescent="0.2">
      <c r="A413" s="53" t="s">
        <v>505</v>
      </c>
      <c r="B413" s="54" t="s">
        <v>506</v>
      </c>
      <c r="C413" s="54">
        <v>18</v>
      </c>
      <c r="D413" s="54">
        <v>4.6399999999999997</v>
      </c>
      <c r="E413" s="54">
        <v>4.6900000000000004</v>
      </c>
      <c r="F413" s="54">
        <v>4.71</v>
      </c>
      <c r="G413" s="54">
        <v>4.7300000000000004</v>
      </c>
      <c r="H413" s="54">
        <v>4.75</v>
      </c>
      <c r="I413" s="54">
        <v>4.7699999999999996</v>
      </c>
      <c r="J413" s="54">
        <v>4.79</v>
      </c>
      <c r="K413" s="54">
        <v>4.8099999999999996</v>
      </c>
      <c r="L413" s="54">
        <v>4.82</v>
      </c>
      <c r="M413" s="54">
        <v>4.87</v>
      </c>
      <c r="N413" s="54">
        <v>4.92</v>
      </c>
      <c r="O413" s="55"/>
      <c r="P413" s="56"/>
      <c r="Q413" s="56"/>
      <c r="R413" s="56"/>
      <c r="S413" s="56"/>
      <c r="T413" s="57"/>
    </row>
    <row r="414" spans="1:20" ht="13.5" customHeight="1" x14ac:dyDescent="0.2">
      <c r="A414" s="53" t="s">
        <v>507</v>
      </c>
      <c r="B414" s="54" t="s">
        <v>508</v>
      </c>
      <c r="C414" s="54">
        <v>10</v>
      </c>
      <c r="D414" s="54">
        <v>5.45</v>
      </c>
      <c r="E414" s="54">
        <v>5.51</v>
      </c>
      <c r="F414" s="54">
        <v>5.53</v>
      </c>
      <c r="G414" s="54">
        <v>5.55</v>
      </c>
      <c r="H414" s="54">
        <v>5.58</v>
      </c>
      <c r="I414" s="54">
        <v>5.6</v>
      </c>
      <c r="J414" s="54">
        <v>5.62</v>
      </c>
      <c r="K414" s="54">
        <v>5.66</v>
      </c>
      <c r="L414" s="54">
        <v>5.67</v>
      </c>
      <c r="M414" s="54">
        <v>5.72</v>
      </c>
      <c r="N414" s="54">
        <v>5.77</v>
      </c>
      <c r="O414" s="55"/>
      <c r="P414" s="56"/>
      <c r="Q414" s="56"/>
      <c r="R414" s="56"/>
      <c r="S414" s="56"/>
      <c r="T414" s="57"/>
    </row>
    <row r="415" spans="1:20" ht="13.5" customHeight="1" x14ac:dyDescent="0.2">
      <c r="A415" s="53">
        <v>1995</v>
      </c>
      <c r="B415" s="54" t="s">
        <v>509</v>
      </c>
      <c r="C415" s="54">
        <v>12</v>
      </c>
      <c r="D415" s="54">
        <v>6.43</v>
      </c>
      <c r="E415" s="54">
        <v>6.49</v>
      </c>
      <c r="F415" s="54">
        <v>6.52</v>
      </c>
      <c r="G415" s="54">
        <v>6.54</v>
      </c>
      <c r="H415" s="54">
        <v>6.57</v>
      </c>
      <c r="I415" s="54">
        <v>6.6</v>
      </c>
      <c r="J415" s="54">
        <v>6.63</v>
      </c>
      <c r="K415" s="54">
        <v>6.66</v>
      </c>
      <c r="L415" s="54">
        <v>6.68</v>
      </c>
      <c r="M415" s="54">
        <v>6.74</v>
      </c>
      <c r="N415" s="54">
        <v>6.81</v>
      </c>
      <c r="O415" s="55"/>
      <c r="P415" s="56"/>
      <c r="Q415" s="56"/>
      <c r="R415" s="56"/>
      <c r="S415" s="56"/>
      <c r="T415" s="57"/>
    </row>
    <row r="416" spans="1:20" ht="13.5" customHeight="1" x14ac:dyDescent="0.2">
      <c r="A416" s="53">
        <v>1996</v>
      </c>
      <c r="B416" s="54" t="s">
        <v>510</v>
      </c>
      <c r="C416" s="54">
        <v>15</v>
      </c>
      <c r="D416" s="54">
        <v>9.59</v>
      </c>
      <c r="E416" s="54">
        <v>9.67</v>
      </c>
      <c r="F416" s="54">
        <v>9.7100000000000009</v>
      </c>
      <c r="G416" s="54">
        <v>9.76</v>
      </c>
      <c r="H416" s="54">
        <v>9.8000000000000007</v>
      </c>
      <c r="I416" s="54">
        <v>9.84</v>
      </c>
      <c r="J416" s="54">
        <v>9.8800000000000008</v>
      </c>
      <c r="K416" s="54">
        <v>9.93</v>
      </c>
      <c r="L416" s="54">
        <v>9.9499999999999993</v>
      </c>
      <c r="M416" s="54">
        <v>10.039999999999999</v>
      </c>
      <c r="N416" s="54">
        <v>10.14</v>
      </c>
      <c r="O416" s="55"/>
      <c r="P416" s="56"/>
      <c r="Q416" s="56"/>
      <c r="R416" s="56"/>
      <c r="S416" s="56"/>
      <c r="T416" s="57"/>
    </row>
    <row r="417" spans="1:20" ht="13.5" customHeight="1" x14ac:dyDescent="0.2">
      <c r="A417" s="53">
        <v>1997</v>
      </c>
      <c r="B417" s="54" t="s">
        <v>511</v>
      </c>
      <c r="C417" s="54">
        <v>10</v>
      </c>
      <c r="D417" s="54">
        <v>11.65</v>
      </c>
      <c r="E417" s="54">
        <v>11.76</v>
      </c>
      <c r="F417" s="54">
        <v>11.81</v>
      </c>
      <c r="G417" s="54">
        <v>11.86</v>
      </c>
      <c r="H417" s="54">
        <v>11.91</v>
      </c>
      <c r="I417" s="54">
        <v>11.96</v>
      </c>
      <c r="J417" s="54">
        <v>12.01</v>
      </c>
      <c r="K417" s="54">
        <v>12.07</v>
      </c>
      <c r="L417" s="54">
        <v>12.1</v>
      </c>
      <c r="M417" s="54">
        <v>12.22</v>
      </c>
      <c r="N417" s="54">
        <v>12.33</v>
      </c>
      <c r="O417" s="55"/>
      <c r="P417" s="56"/>
      <c r="Q417" s="56"/>
      <c r="R417" s="56"/>
      <c r="S417" s="56"/>
      <c r="T417" s="57"/>
    </row>
    <row r="418" spans="1:20" ht="13.5" customHeight="1" x14ac:dyDescent="0.2">
      <c r="A418" s="53">
        <v>2004</v>
      </c>
      <c r="B418" s="54" t="s">
        <v>512</v>
      </c>
      <c r="C418" s="54">
        <v>1</v>
      </c>
      <c r="D418" s="54">
        <v>1270.08</v>
      </c>
      <c r="E418" s="54">
        <v>1281.28</v>
      </c>
      <c r="F418" s="54">
        <v>1286.9100000000001</v>
      </c>
      <c r="G418" s="54">
        <v>1292.58</v>
      </c>
      <c r="H418" s="54">
        <v>1298.27</v>
      </c>
      <c r="I418" s="54">
        <v>1303.99</v>
      </c>
      <c r="J418" s="54">
        <v>1309.73</v>
      </c>
      <c r="K418" s="54">
        <v>1315.49</v>
      </c>
      <c r="L418" s="54">
        <v>1318.79</v>
      </c>
      <c r="M418" s="54">
        <v>1331.26</v>
      </c>
      <c r="N418" s="54">
        <v>1343.85</v>
      </c>
      <c r="O418" s="55"/>
      <c r="P418" s="56"/>
      <c r="Q418" s="56"/>
      <c r="R418" s="56"/>
      <c r="S418" s="56"/>
      <c r="T418" s="57"/>
    </row>
    <row r="419" spans="1:20" ht="13.5" customHeight="1" x14ac:dyDescent="0.2">
      <c r="A419" s="53">
        <v>2005</v>
      </c>
      <c r="B419" s="54" t="s">
        <v>513</v>
      </c>
      <c r="C419" s="54">
        <v>1</v>
      </c>
      <c r="D419" s="54">
        <v>1422.97</v>
      </c>
      <c r="E419" s="54">
        <v>1435.51</v>
      </c>
      <c r="F419" s="54">
        <v>1441.84</v>
      </c>
      <c r="G419" s="54">
        <v>1448.18</v>
      </c>
      <c r="H419" s="54">
        <v>1454.56</v>
      </c>
      <c r="I419" s="54">
        <v>1460.96</v>
      </c>
      <c r="J419" s="54">
        <v>1467.39</v>
      </c>
      <c r="K419" s="54">
        <v>1473.84</v>
      </c>
      <c r="L419" s="54">
        <v>1477.55</v>
      </c>
      <c r="M419" s="54">
        <v>1491.52</v>
      </c>
      <c r="N419" s="54">
        <v>1505.62</v>
      </c>
      <c r="O419" s="55"/>
      <c r="P419" s="56"/>
      <c r="Q419" s="56"/>
      <c r="R419" s="56"/>
      <c r="S419" s="56"/>
      <c r="T419" s="57"/>
    </row>
    <row r="420" spans="1:20" ht="13.5" customHeight="1" x14ac:dyDescent="0.2">
      <c r="A420" s="53">
        <v>2006</v>
      </c>
      <c r="B420" s="54" t="s">
        <v>514</v>
      </c>
      <c r="C420" s="54">
        <v>1</v>
      </c>
      <c r="D420" s="54">
        <v>1498.63</v>
      </c>
      <c r="E420" s="54">
        <v>1511.85</v>
      </c>
      <c r="F420" s="54">
        <v>1518.5</v>
      </c>
      <c r="G420" s="54">
        <v>1525.19</v>
      </c>
      <c r="H420" s="54">
        <v>1531.9</v>
      </c>
      <c r="I420" s="54">
        <v>1538.64</v>
      </c>
      <c r="J420" s="54">
        <v>1545.41</v>
      </c>
      <c r="K420" s="54">
        <v>1552.22</v>
      </c>
      <c r="L420" s="54">
        <v>1556.11</v>
      </c>
      <c r="M420" s="54">
        <v>1570.83</v>
      </c>
      <c r="N420" s="54">
        <v>1585.68</v>
      </c>
      <c r="O420" s="55"/>
      <c r="P420" s="56"/>
      <c r="Q420" s="56"/>
      <c r="R420" s="56"/>
      <c r="S420" s="56"/>
      <c r="T420" s="57"/>
    </row>
    <row r="421" spans="1:20" ht="13.5" customHeight="1" x14ac:dyDescent="0.2">
      <c r="A421" s="53">
        <v>2011</v>
      </c>
      <c r="B421" s="54" t="s">
        <v>515</v>
      </c>
      <c r="C421" s="54">
        <v>8</v>
      </c>
      <c r="D421" s="54">
        <v>10.210000000000001</v>
      </c>
      <c r="E421" s="54">
        <v>10.31</v>
      </c>
      <c r="F421" s="54">
        <v>10.35</v>
      </c>
      <c r="G421" s="54">
        <v>10.39</v>
      </c>
      <c r="H421" s="54">
        <v>10.44</v>
      </c>
      <c r="I421" s="54">
        <v>10.49</v>
      </c>
      <c r="J421" s="54">
        <v>10.53</v>
      </c>
      <c r="K421" s="54">
        <v>10.58</v>
      </c>
      <c r="L421" s="54">
        <v>10.61</v>
      </c>
      <c r="M421" s="54">
        <v>10.7</v>
      </c>
      <c r="N421" s="54">
        <v>10.81</v>
      </c>
      <c r="O421" s="55"/>
      <c r="P421" s="56"/>
      <c r="Q421" s="56"/>
      <c r="R421" s="56"/>
      <c r="S421" s="56"/>
      <c r="T421" s="57"/>
    </row>
    <row r="422" spans="1:20" ht="13.5" customHeight="1" x14ac:dyDescent="0.2">
      <c r="A422" s="53">
        <v>2012</v>
      </c>
      <c r="B422" s="54" t="s">
        <v>516</v>
      </c>
      <c r="C422" s="54">
        <v>12</v>
      </c>
      <c r="D422" s="54">
        <v>13.7</v>
      </c>
      <c r="E422" s="54">
        <v>13.81</v>
      </c>
      <c r="F422" s="54">
        <v>13.88</v>
      </c>
      <c r="G422" s="54">
        <v>13.94</v>
      </c>
      <c r="H422" s="54">
        <v>14</v>
      </c>
      <c r="I422" s="54">
        <v>14.06</v>
      </c>
      <c r="J422" s="54">
        <v>14.12</v>
      </c>
      <c r="K422" s="54">
        <v>14.19</v>
      </c>
      <c r="L422" s="54">
        <v>14.22</v>
      </c>
      <c r="M422" s="54">
        <v>14.36</v>
      </c>
      <c r="N422" s="54">
        <v>14.49</v>
      </c>
      <c r="O422" s="55"/>
      <c r="P422" s="56"/>
      <c r="Q422" s="56"/>
      <c r="R422" s="56"/>
      <c r="S422" s="56"/>
      <c r="T422" s="57"/>
    </row>
    <row r="423" spans="1:20" ht="13.5" customHeight="1" x14ac:dyDescent="0.2">
      <c r="A423" s="53">
        <v>2013</v>
      </c>
      <c r="B423" s="54" t="s">
        <v>517</v>
      </c>
      <c r="C423" s="54">
        <v>4</v>
      </c>
      <c r="D423" s="54">
        <v>25.34</v>
      </c>
      <c r="E423" s="54">
        <v>25.56</v>
      </c>
      <c r="F423" s="54">
        <v>25.67</v>
      </c>
      <c r="G423" s="54">
        <v>25.78</v>
      </c>
      <c r="H423" s="54">
        <v>25.9</v>
      </c>
      <c r="I423" s="54">
        <v>26.01</v>
      </c>
      <c r="J423" s="54">
        <v>26.12</v>
      </c>
      <c r="K423" s="54">
        <v>26.24</v>
      </c>
      <c r="L423" s="54">
        <v>26.31</v>
      </c>
      <c r="M423" s="54">
        <v>26.56</v>
      </c>
      <c r="N423" s="54">
        <v>26.81</v>
      </c>
      <c r="O423" s="55"/>
      <c r="P423" s="56"/>
      <c r="Q423" s="56"/>
      <c r="R423" s="56"/>
      <c r="S423" s="56"/>
      <c r="T423" s="57"/>
    </row>
    <row r="424" spans="1:20" ht="13.5" customHeight="1" x14ac:dyDescent="0.2">
      <c r="A424" s="53">
        <v>2014</v>
      </c>
      <c r="B424" s="54" t="s">
        <v>518</v>
      </c>
      <c r="C424" s="54">
        <v>6</v>
      </c>
      <c r="D424" s="54">
        <v>10.27</v>
      </c>
      <c r="E424" s="54">
        <v>10.36</v>
      </c>
      <c r="F424" s="54">
        <v>10.41</v>
      </c>
      <c r="G424" s="54">
        <v>10.45</v>
      </c>
      <c r="H424" s="54">
        <v>10.5</v>
      </c>
      <c r="I424" s="54">
        <v>10.54</v>
      </c>
      <c r="J424" s="54">
        <v>10.59</v>
      </c>
      <c r="K424" s="54">
        <v>10.64</v>
      </c>
      <c r="L424" s="54">
        <v>10.66</v>
      </c>
      <c r="M424" s="54">
        <v>10.77</v>
      </c>
      <c r="N424" s="54">
        <v>10.86</v>
      </c>
      <c r="O424" s="55"/>
      <c r="P424" s="56"/>
      <c r="Q424" s="56"/>
      <c r="R424" s="56"/>
      <c r="S424" s="56"/>
      <c r="T424" s="57"/>
    </row>
    <row r="425" spans="1:20" ht="13.5" customHeight="1" x14ac:dyDescent="0.2">
      <c r="A425" s="53">
        <v>2015</v>
      </c>
      <c r="B425" s="54" t="s">
        <v>519</v>
      </c>
      <c r="C425" s="54">
        <v>4</v>
      </c>
      <c r="D425" s="54">
        <v>19.05</v>
      </c>
      <c r="E425" s="54">
        <v>19.22</v>
      </c>
      <c r="F425" s="54">
        <v>19.309999999999999</v>
      </c>
      <c r="G425" s="54">
        <v>19.39</v>
      </c>
      <c r="H425" s="54">
        <v>19.48</v>
      </c>
      <c r="I425" s="54">
        <v>19.559999999999999</v>
      </c>
      <c r="J425" s="54">
        <v>19.649999999999999</v>
      </c>
      <c r="K425" s="54">
        <v>19.73</v>
      </c>
      <c r="L425" s="54">
        <v>19.79</v>
      </c>
      <c r="M425" s="54">
        <v>19.98</v>
      </c>
      <c r="N425" s="54">
        <v>20.16</v>
      </c>
      <c r="O425" s="55"/>
      <c r="P425" s="56"/>
      <c r="Q425" s="56"/>
      <c r="R425" s="56"/>
      <c r="S425" s="56"/>
      <c r="T425" s="57"/>
    </row>
    <row r="426" spans="1:20" ht="13.5" customHeight="1" x14ac:dyDescent="0.2">
      <c r="A426" s="53">
        <v>2016</v>
      </c>
      <c r="B426" s="54" t="s">
        <v>520</v>
      </c>
      <c r="C426" s="54">
        <v>6</v>
      </c>
      <c r="D426" s="54">
        <v>25.98</v>
      </c>
      <c r="E426" s="54">
        <v>26.21</v>
      </c>
      <c r="F426" s="54">
        <v>26.33</v>
      </c>
      <c r="G426" s="54">
        <v>26.44</v>
      </c>
      <c r="H426" s="54">
        <v>26.56</v>
      </c>
      <c r="I426" s="54">
        <v>26.68</v>
      </c>
      <c r="J426" s="54">
        <v>26.8</v>
      </c>
      <c r="K426" s="54">
        <v>26.91</v>
      </c>
      <c r="L426" s="54">
        <v>26.98</v>
      </c>
      <c r="M426" s="54">
        <v>27.23</v>
      </c>
      <c r="N426" s="54">
        <v>27.49</v>
      </c>
      <c r="O426" s="55"/>
      <c r="P426" s="56"/>
      <c r="Q426" s="56"/>
      <c r="R426" s="56"/>
      <c r="S426" s="56"/>
      <c r="T426" s="57"/>
    </row>
    <row r="427" spans="1:20" ht="13.5" customHeight="1" x14ac:dyDescent="0.2">
      <c r="A427" s="53">
        <v>2017</v>
      </c>
      <c r="B427" s="54" t="s">
        <v>521</v>
      </c>
      <c r="C427" s="54">
        <v>10</v>
      </c>
      <c r="D427" s="54">
        <v>19.670000000000002</v>
      </c>
      <c r="E427" s="54">
        <v>19.850000000000001</v>
      </c>
      <c r="F427" s="54">
        <v>19.940000000000001</v>
      </c>
      <c r="G427" s="54">
        <v>20.02</v>
      </c>
      <c r="H427" s="54">
        <v>20.11</v>
      </c>
      <c r="I427" s="54">
        <v>20.2</v>
      </c>
      <c r="J427" s="54">
        <v>20.29</v>
      </c>
      <c r="K427" s="54">
        <v>20.37</v>
      </c>
      <c r="L427" s="54">
        <v>20.43</v>
      </c>
      <c r="M427" s="54">
        <v>20.62</v>
      </c>
      <c r="N427" s="54">
        <v>20.82</v>
      </c>
      <c r="O427" s="55"/>
      <c r="P427" s="56"/>
      <c r="Q427" s="56"/>
      <c r="R427" s="56"/>
      <c r="S427" s="56"/>
      <c r="T427" s="57"/>
    </row>
    <row r="428" spans="1:20" ht="13.5" customHeight="1" x14ac:dyDescent="0.2">
      <c r="A428" s="53">
        <v>2018</v>
      </c>
      <c r="B428" s="54" t="s">
        <v>522</v>
      </c>
      <c r="C428" s="54">
        <v>8</v>
      </c>
      <c r="D428" s="54">
        <v>20.5</v>
      </c>
      <c r="E428" s="54">
        <v>20.67</v>
      </c>
      <c r="F428" s="54">
        <v>20.77</v>
      </c>
      <c r="G428" s="54">
        <v>20.86</v>
      </c>
      <c r="H428" s="54">
        <v>20.95</v>
      </c>
      <c r="I428" s="54">
        <v>21.04</v>
      </c>
      <c r="J428" s="54">
        <v>21.14</v>
      </c>
      <c r="K428" s="54">
        <v>21.23</v>
      </c>
      <c r="L428" s="54">
        <v>21.28</v>
      </c>
      <c r="M428" s="54">
        <v>21.48</v>
      </c>
      <c r="N428" s="54">
        <v>21.68</v>
      </c>
      <c r="O428" s="55"/>
      <c r="P428" s="56"/>
      <c r="Q428" s="56"/>
      <c r="R428" s="56"/>
      <c r="S428" s="56"/>
      <c r="T428" s="57"/>
    </row>
    <row r="429" spans="1:20" ht="13.5" customHeight="1" x14ac:dyDescent="0.2">
      <c r="A429" s="53">
        <v>2021</v>
      </c>
      <c r="B429" s="54" t="s">
        <v>523</v>
      </c>
      <c r="C429" s="54">
        <v>12</v>
      </c>
      <c r="D429" s="54">
        <v>9.5500000000000007</v>
      </c>
      <c r="E429" s="54">
        <v>9.64</v>
      </c>
      <c r="F429" s="54">
        <v>9.68</v>
      </c>
      <c r="G429" s="54">
        <v>9.7200000000000006</v>
      </c>
      <c r="H429" s="54">
        <v>9.77</v>
      </c>
      <c r="I429" s="54">
        <v>9.81</v>
      </c>
      <c r="J429" s="54">
        <v>9.85</v>
      </c>
      <c r="K429" s="54">
        <v>9.89</v>
      </c>
      <c r="L429" s="54">
        <v>9.93</v>
      </c>
      <c r="M429" s="54">
        <v>10.01</v>
      </c>
      <c r="N429" s="54">
        <v>10.11</v>
      </c>
      <c r="O429" s="55"/>
      <c r="P429" s="56"/>
      <c r="Q429" s="56"/>
      <c r="R429" s="56"/>
      <c r="S429" s="56"/>
      <c r="T429" s="57"/>
    </row>
    <row r="430" spans="1:20" ht="13.5" customHeight="1" x14ac:dyDescent="0.2">
      <c r="A430" s="53">
        <v>2022</v>
      </c>
      <c r="B430" s="54" t="s">
        <v>524</v>
      </c>
      <c r="C430" s="54">
        <v>12</v>
      </c>
      <c r="D430" s="54">
        <v>10.93</v>
      </c>
      <c r="E430" s="54">
        <v>11.02</v>
      </c>
      <c r="F430" s="54">
        <v>11.08</v>
      </c>
      <c r="G430" s="54">
        <v>11.12</v>
      </c>
      <c r="H430" s="54">
        <v>11.17</v>
      </c>
      <c r="I430" s="54">
        <v>11.21</v>
      </c>
      <c r="J430" s="54">
        <v>11.27</v>
      </c>
      <c r="K430" s="54">
        <v>11.32</v>
      </c>
      <c r="L430" s="54">
        <v>11.34</v>
      </c>
      <c r="M430" s="54">
        <v>11.45</v>
      </c>
      <c r="N430" s="54">
        <v>11.57</v>
      </c>
      <c r="O430" s="55"/>
      <c r="P430" s="56"/>
      <c r="Q430" s="56"/>
      <c r="R430" s="56"/>
      <c r="S430" s="56"/>
      <c r="T430" s="57"/>
    </row>
    <row r="431" spans="1:20" ht="13.5" customHeight="1" x14ac:dyDescent="0.2">
      <c r="A431" s="53">
        <v>2023</v>
      </c>
      <c r="B431" s="54" t="s">
        <v>525</v>
      </c>
      <c r="C431" s="54">
        <v>12</v>
      </c>
      <c r="D431" s="54">
        <v>13.02</v>
      </c>
      <c r="E431" s="54">
        <v>13.14</v>
      </c>
      <c r="F431" s="54">
        <v>13.2</v>
      </c>
      <c r="G431" s="54">
        <v>13.26</v>
      </c>
      <c r="H431" s="54">
        <v>13.31</v>
      </c>
      <c r="I431" s="54">
        <v>13.38</v>
      </c>
      <c r="J431" s="54">
        <v>13.43</v>
      </c>
      <c r="K431" s="54">
        <v>13.49</v>
      </c>
      <c r="L431" s="54">
        <v>13.53</v>
      </c>
      <c r="M431" s="54">
        <v>13.65</v>
      </c>
      <c r="N431" s="54">
        <v>13.78</v>
      </c>
      <c r="O431" s="55"/>
      <c r="P431" s="56"/>
      <c r="Q431" s="56"/>
      <c r="R431" s="56"/>
      <c r="S431" s="56"/>
      <c r="T431" s="57"/>
    </row>
    <row r="432" spans="1:20" ht="13.5" customHeight="1" x14ac:dyDescent="0.2">
      <c r="A432" s="53">
        <v>2024</v>
      </c>
      <c r="B432" s="54" t="s">
        <v>525</v>
      </c>
      <c r="C432" s="54">
        <v>6</v>
      </c>
      <c r="D432" s="54">
        <v>14.94</v>
      </c>
      <c r="E432" s="54">
        <v>15.08</v>
      </c>
      <c r="F432" s="54">
        <v>15.14</v>
      </c>
      <c r="G432" s="54">
        <v>15.21</v>
      </c>
      <c r="H432" s="54">
        <v>15.27</v>
      </c>
      <c r="I432" s="54">
        <v>15.35</v>
      </c>
      <c r="J432" s="54">
        <v>15.41</v>
      </c>
      <c r="K432" s="54">
        <v>15.47</v>
      </c>
      <c r="L432" s="54">
        <v>15.52</v>
      </c>
      <c r="M432" s="54">
        <v>15.67</v>
      </c>
      <c r="N432" s="54">
        <v>15.82</v>
      </c>
      <c r="O432" s="55"/>
      <c r="P432" s="56"/>
      <c r="Q432" s="56"/>
      <c r="R432" s="56"/>
      <c r="S432" s="56"/>
      <c r="T432" s="57"/>
    </row>
    <row r="433" spans="1:20" ht="13.5" customHeight="1" x14ac:dyDescent="0.2">
      <c r="A433" s="53">
        <v>2025</v>
      </c>
      <c r="B433" s="54" t="s">
        <v>526</v>
      </c>
      <c r="C433" s="54">
        <v>12</v>
      </c>
      <c r="D433" s="54">
        <v>10.89</v>
      </c>
      <c r="E433" s="54">
        <v>10.99</v>
      </c>
      <c r="F433" s="54">
        <v>11.04</v>
      </c>
      <c r="G433" s="54">
        <v>11.1</v>
      </c>
      <c r="H433" s="54">
        <v>11.14</v>
      </c>
      <c r="I433" s="54">
        <v>11.19</v>
      </c>
      <c r="J433" s="54">
        <v>11.24</v>
      </c>
      <c r="K433" s="54">
        <v>11.29</v>
      </c>
      <c r="L433" s="54">
        <v>11.32</v>
      </c>
      <c r="M433" s="54">
        <v>11.43</v>
      </c>
      <c r="N433" s="54">
        <v>11.53</v>
      </c>
      <c r="O433" s="55"/>
      <c r="P433" s="56"/>
      <c r="Q433" s="56"/>
      <c r="R433" s="56"/>
      <c r="S433" s="56"/>
      <c r="T433" s="57"/>
    </row>
    <row r="434" spans="1:20" ht="13.5" customHeight="1" x14ac:dyDescent="0.2">
      <c r="A434" s="53">
        <v>2026</v>
      </c>
      <c r="B434" s="54" t="s">
        <v>527</v>
      </c>
      <c r="C434" s="54">
        <v>12</v>
      </c>
      <c r="D434" s="54">
        <v>12.27</v>
      </c>
      <c r="E434" s="54">
        <v>12.38</v>
      </c>
      <c r="F434" s="54">
        <v>12.43</v>
      </c>
      <c r="G434" s="54">
        <v>12.49</v>
      </c>
      <c r="H434" s="54">
        <v>12.55</v>
      </c>
      <c r="I434" s="54">
        <v>12.6</v>
      </c>
      <c r="J434" s="54">
        <v>12.65</v>
      </c>
      <c r="K434" s="54">
        <v>12.71</v>
      </c>
      <c r="L434" s="54">
        <v>12.74</v>
      </c>
      <c r="M434" s="54">
        <v>12.87</v>
      </c>
      <c r="N434" s="54">
        <v>12.98</v>
      </c>
      <c r="O434" s="55"/>
      <c r="P434" s="56"/>
      <c r="Q434" s="56"/>
      <c r="R434" s="56"/>
      <c r="S434" s="56"/>
      <c r="T434" s="57"/>
    </row>
    <row r="435" spans="1:20" ht="13.5" customHeight="1" x14ac:dyDescent="0.2">
      <c r="A435" s="53">
        <v>2027</v>
      </c>
      <c r="B435" s="54" t="s">
        <v>528</v>
      </c>
      <c r="C435" s="54">
        <v>12</v>
      </c>
      <c r="D435" s="54">
        <v>13.66</v>
      </c>
      <c r="E435" s="54">
        <v>13.79</v>
      </c>
      <c r="F435" s="54">
        <v>13.85</v>
      </c>
      <c r="G435" s="54">
        <v>13.91</v>
      </c>
      <c r="H435" s="54">
        <v>13.97</v>
      </c>
      <c r="I435" s="54">
        <v>14.04</v>
      </c>
      <c r="J435" s="54">
        <v>14.1</v>
      </c>
      <c r="K435" s="54">
        <v>14.15</v>
      </c>
      <c r="L435" s="54">
        <v>14.2</v>
      </c>
      <c r="M435" s="54">
        <v>14.32</v>
      </c>
      <c r="N435" s="54">
        <v>14.46</v>
      </c>
      <c r="O435" s="55"/>
      <c r="P435" s="56"/>
      <c r="Q435" s="56"/>
      <c r="R435" s="56"/>
      <c r="S435" s="56"/>
      <c r="T435" s="57"/>
    </row>
    <row r="436" spans="1:20" ht="13.5" customHeight="1" x14ac:dyDescent="0.2">
      <c r="A436" s="53">
        <v>2028</v>
      </c>
      <c r="B436" s="54" t="s">
        <v>529</v>
      </c>
      <c r="C436" s="54">
        <v>6</v>
      </c>
      <c r="D436" s="54">
        <v>16.32</v>
      </c>
      <c r="E436" s="54">
        <v>16.45</v>
      </c>
      <c r="F436" s="54">
        <v>16.53</v>
      </c>
      <c r="G436" s="54">
        <v>16.600000000000001</v>
      </c>
      <c r="H436" s="54">
        <v>16.68</v>
      </c>
      <c r="I436" s="54">
        <v>16.75</v>
      </c>
      <c r="J436" s="54">
        <v>16.829999999999998</v>
      </c>
      <c r="K436" s="54">
        <v>16.899999999999999</v>
      </c>
      <c r="L436" s="54">
        <v>16.940000000000001</v>
      </c>
      <c r="M436" s="54">
        <v>17.100000000000001</v>
      </c>
      <c r="N436" s="54">
        <v>17.260000000000002</v>
      </c>
      <c r="O436" s="55"/>
      <c r="P436" s="56"/>
      <c r="Q436" s="56"/>
      <c r="R436" s="56"/>
      <c r="S436" s="56"/>
      <c r="T436" s="57"/>
    </row>
    <row r="437" spans="1:20" ht="13.5" customHeight="1" x14ac:dyDescent="0.2">
      <c r="A437" s="53">
        <v>2033</v>
      </c>
      <c r="B437" s="54" t="s">
        <v>530</v>
      </c>
      <c r="C437" s="54">
        <v>1</v>
      </c>
      <c r="D437" s="54">
        <v>1326.41</v>
      </c>
      <c r="E437" s="54">
        <v>1338.12</v>
      </c>
      <c r="F437" s="54">
        <v>1344.01</v>
      </c>
      <c r="G437" s="54">
        <v>1349.93</v>
      </c>
      <c r="H437" s="54">
        <v>1355.87</v>
      </c>
      <c r="I437" s="54">
        <v>1361.84</v>
      </c>
      <c r="J437" s="54">
        <v>1367.83</v>
      </c>
      <c r="K437" s="54">
        <v>1373.85</v>
      </c>
      <c r="L437" s="54">
        <v>1377.3</v>
      </c>
      <c r="M437" s="54">
        <v>1390.33</v>
      </c>
      <c r="N437" s="54">
        <v>1403.47</v>
      </c>
      <c r="O437" s="55"/>
      <c r="P437" s="56"/>
      <c r="Q437" s="56"/>
      <c r="R437" s="56"/>
      <c r="S437" s="56"/>
      <c r="T437" s="57"/>
    </row>
    <row r="438" spans="1:20" ht="13.5" customHeight="1" x14ac:dyDescent="0.2">
      <c r="A438" s="53">
        <v>2034</v>
      </c>
      <c r="B438" s="54" t="s">
        <v>531</v>
      </c>
      <c r="C438" s="54">
        <v>1</v>
      </c>
      <c r="D438" s="54">
        <v>1432.67</v>
      </c>
      <c r="E438" s="54">
        <v>1445.31</v>
      </c>
      <c r="F438" s="54">
        <v>1451.67</v>
      </c>
      <c r="G438" s="54">
        <v>1458.06</v>
      </c>
      <c r="H438" s="54">
        <v>1464.48</v>
      </c>
      <c r="I438" s="54">
        <v>1470.92</v>
      </c>
      <c r="J438" s="54">
        <v>1477.4</v>
      </c>
      <c r="K438" s="54">
        <v>1483.9</v>
      </c>
      <c r="L438" s="54">
        <v>1487.62</v>
      </c>
      <c r="M438" s="54">
        <v>1501.69</v>
      </c>
      <c r="N438" s="54">
        <v>1515.89</v>
      </c>
      <c r="O438" s="55"/>
      <c r="P438" s="56"/>
      <c r="Q438" s="56"/>
      <c r="R438" s="56"/>
      <c r="S438" s="56"/>
      <c r="T438" s="57"/>
    </row>
    <row r="439" spans="1:20" ht="13.5" customHeight="1" x14ac:dyDescent="0.2">
      <c r="A439" s="53">
        <v>2035</v>
      </c>
      <c r="B439" s="54" t="s">
        <v>532</v>
      </c>
      <c r="C439" s="54">
        <v>1</v>
      </c>
      <c r="D439" s="54">
        <v>1604.04</v>
      </c>
      <c r="E439" s="54">
        <v>1618.19</v>
      </c>
      <c r="F439" s="54">
        <v>1625.32</v>
      </c>
      <c r="G439" s="54">
        <v>1632.46</v>
      </c>
      <c r="H439" s="54">
        <v>1639.65</v>
      </c>
      <c r="I439" s="54">
        <v>1646.87</v>
      </c>
      <c r="J439" s="54">
        <v>1654.12</v>
      </c>
      <c r="K439" s="54">
        <v>1661.4</v>
      </c>
      <c r="L439" s="54">
        <v>1665.57</v>
      </c>
      <c r="M439" s="54">
        <v>1681.33</v>
      </c>
      <c r="N439" s="54">
        <v>1697.22</v>
      </c>
      <c r="O439" s="55"/>
      <c r="P439" s="56"/>
      <c r="Q439" s="56"/>
      <c r="R439" s="56"/>
      <c r="S439" s="56"/>
      <c r="T439" s="57"/>
    </row>
    <row r="440" spans="1:20" ht="13.5" customHeight="1" x14ac:dyDescent="0.2">
      <c r="A440" s="53">
        <v>2036</v>
      </c>
      <c r="B440" s="54" t="s">
        <v>533</v>
      </c>
      <c r="C440" s="54">
        <v>1</v>
      </c>
      <c r="D440" s="54">
        <v>1230.77</v>
      </c>
      <c r="E440" s="54">
        <v>1241.6199999999999</v>
      </c>
      <c r="F440" s="54">
        <v>1247.0899999999999</v>
      </c>
      <c r="G440" s="54">
        <v>1252.58</v>
      </c>
      <c r="H440" s="54">
        <v>1258.0999999999999</v>
      </c>
      <c r="I440" s="54">
        <v>1263.6300000000001</v>
      </c>
      <c r="J440" s="54">
        <v>1269.19</v>
      </c>
      <c r="K440" s="54">
        <v>1274.77</v>
      </c>
      <c r="L440" s="54">
        <v>1277.98</v>
      </c>
      <c r="M440" s="54">
        <v>1290.07</v>
      </c>
      <c r="N440" s="54">
        <v>1302.26</v>
      </c>
      <c r="O440" s="55"/>
      <c r="P440" s="56"/>
      <c r="Q440" s="56"/>
      <c r="R440" s="56"/>
      <c r="S440" s="56"/>
      <c r="T440" s="57"/>
    </row>
    <row r="441" spans="1:20" ht="13.5" customHeight="1" x14ac:dyDescent="0.2">
      <c r="A441" s="53">
        <v>2037</v>
      </c>
      <c r="B441" s="54" t="s">
        <v>534</v>
      </c>
      <c r="C441" s="54">
        <v>1</v>
      </c>
      <c r="D441" s="54">
        <v>1000.72</v>
      </c>
      <c r="E441" s="54">
        <v>1009.55</v>
      </c>
      <c r="F441" s="54">
        <v>1013.99</v>
      </c>
      <c r="G441" s="54">
        <v>1018.45</v>
      </c>
      <c r="H441" s="54">
        <v>1022.93</v>
      </c>
      <c r="I441" s="54">
        <v>1027.44</v>
      </c>
      <c r="J441" s="54">
        <v>1031.96</v>
      </c>
      <c r="K441" s="54">
        <v>1036.5</v>
      </c>
      <c r="L441" s="54">
        <v>1039.1099999999999</v>
      </c>
      <c r="M441" s="54">
        <v>1048.93</v>
      </c>
      <c r="N441" s="54">
        <v>1058.8399999999999</v>
      </c>
      <c r="O441" s="55"/>
      <c r="P441" s="56"/>
      <c r="Q441" s="56"/>
      <c r="R441" s="56"/>
      <c r="S441" s="56"/>
      <c r="T441" s="57"/>
    </row>
    <row r="442" spans="1:20" ht="13.5" customHeight="1" x14ac:dyDescent="0.2">
      <c r="A442" s="53">
        <v>2038</v>
      </c>
      <c r="B442" s="54" t="s">
        <v>535</v>
      </c>
      <c r="C442" s="54">
        <v>1</v>
      </c>
      <c r="D442" s="54">
        <v>1364.68</v>
      </c>
      <c r="E442" s="54">
        <v>1376.73</v>
      </c>
      <c r="F442" s="54">
        <v>1382.79</v>
      </c>
      <c r="G442" s="54">
        <v>1388.87</v>
      </c>
      <c r="H442" s="54">
        <v>1394.98</v>
      </c>
      <c r="I442" s="54">
        <v>1401.12</v>
      </c>
      <c r="J442" s="54">
        <v>1407.29</v>
      </c>
      <c r="K442" s="54">
        <v>1413.48</v>
      </c>
      <c r="L442" s="54">
        <v>1417.04</v>
      </c>
      <c r="M442" s="54">
        <v>1430.43</v>
      </c>
      <c r="N442" s="54">
        <v>1443.96</v>
      </c>
      <c r="O442" s="55"/>
      <c r="P442" s="56"/>
      <c r="Q442" s="56"/>
      <c r="R442" s="56"/>
      <c r="S442" s="56"/>
      <c r="T442" s="57"/>
    </row>
    <row r="443" spans="1:20" ht="13.5" customHeight="1" x14ac:dyDescent="0.2">
      <c r="A443" s="53">
        <v>2039</v>
      </c>
      <c r="B443" s="54" t="s">
        <v>536</v>
      </c>
      <c r="C443" s="54">
        <v>1</v>
      </c>
      <c r="D443" s="54">
        <v>919.98</v>
      </c>
      <c r="E443" s="54">
        <v>928.09</v>
      </c>
      <c r="F443" s="54">
        <v>932.18</v>
      </c>
      <c r="G443" s="54">
        <v>936.28</v>
      </c>
      <c r="H443" s="54">
        <v>940.41</v>
      </c>
      <c r="I443" s="54">
        <v>944.55</v>
      </c>
      <c r="J443" s="54">
        <v>948.7</v>
      </c>
      <c r="K443" s="54">
        <v>952.88</v>
      </c>
      <c r="L443" s="54">
        <v>955.27</v>
      </c>
      <c r="M443" s="54">
        <v>964.3</v>
      </c>
      <c r="N443" s="54">
        <v>973.42</v>
      </c>
      <c r="O443" s="55"/>
      <c r="P443" s="56"/>
      <c r="Q443" s="56"/>
      <c r="R443" s="56"/>
      <c r="S443" s="56"/>
      <c r="T443" s="57"/>
    </row>
    <row r="444" spans="1:20" ht="13.5" customHeight="1" x14ac:dyDescent="0.2">
      <c r="A444" s="53">
        <v>2041</v>
      </c>
      <c r="B444" s="54" t="s">
        <v>537</v>
      </c>
      <c r="C444" s="54">
        <v>30</v>
      </c>
      <c r="D444" s="54">
        <v>6.02</v>
      </c>
      <c r="E444" s="54">
        <v>6.07</v>
      </c>
      <c r="F444" s="54">
        <v>6.1</v>
      </c>
      <c r="G444" s="54">
        <v>6.12</v>
      </c>
      <c r="H444" s="54">
        <v>6.16</v>
      </c>
      <c r="I444" s="54">
        <v>6.18</v>
      </c>
      <c r="J444" s="54">
        <v>6.21</v>
      </c>
      <c r="K444" s="54">
        <v>6.23</v>
      </c>
      <c r="L444" s="54">
        <v>6.25</v>
      </c>
      <c r="M444" s="54">
        <v>6.3</v>
      </c>
      <c r="N444" s="54">
        <v>6.37</v>
      </c>
      <c r="O444" s="55"/>
      <c r="P444" s="56"/>
      <c r="Q444" s="56"/>
      <c r="R444" s="56"/>
      <c r="S444" s="56"/>
      <c r="T444" s="57"/>
    </row>
    <row r="445" spans="1:20" ht="13.5" customHeight="1" x14ac:dyDescent="0.2">
      <c r="A445" s="53">
        <v>2044</v>
      </c>
      <c r="B445" s="54" t="s">
        <v>538</v>
      </c>
      <c r="C445" s="54">
        <v>4</v>
      </c>
      <c r="D445" s="54">
        <v>62.09</v>
      </c>
      <c r="E445" s="54">
        <v>62.64</v>
      </c>
      <c r="F445" s="54">
        <v>62.92</v>
      </c>
      <c r="G445" s="54">
        <v>63.2</v>
      </c>
      <c r="H445" s="54">
        <v>63.47</v>
      </c>
      <c r="I445" s="54">
        <v>63.75</v>
      </c>
      <c r="J445" s="54">
        <v>64.03</v>
      </c>
      <c r="K445" s="54">
        <v>64.319999999999993</v>
      </c>
      <c r="L445" s="54">
        <v>64.48</v>
      </c>
      <c r="M445" s="54">
        <v>65.08</v>
      </c>
      <c r="N445" s="54">
        <v>65.7</v>
      </c>
      <c r="O445" s="55"/>
      <c r="P445" s="56"/>
      <c r="Q445" s="56"/>
      <c r="R445" s="56"/>
      <c r="S445" s="56"/>
      <c r="T445" s="57"/>
    </row>
    <row r="446" spans="1:20" ht="13.5" customHeight="1" x14ac:dyDescent="0.2">
      <c r="A446" s="53">
        <v>2045</v>
      </c>
      <c r="B446" s="54" t="s">
        <v>539</v>
      </c>
      <c r="C446" s="54">
        <v>6</v>
      </c>
      <c r="D446" s="54">
        <v>24.54</v>
      </c>
      <c r="E446" s="54">
        <v>24.76</v>
      </c>
      <c r="F446" s="54">
        <v>24.87</v>
      </c>
      <c r="G446" s="54">
        <v>24.97</v>
      </c>
      <c r="H446" s="54">
        <v>25.08</v>
      </c>
      <c r="I446" s="54">
        <v>25.2</v>
      </c>
      <c r="J446" s="54">
        <v>25.3</v>
      </c>
      <c r="K446" s="54">
        <v>25.42</v>
      </c>
      <c r="L446" s="54">
        <v>25.49</v>
      </c>
      <c r="M446" s="54">
        <v>25.72</v>
      </c>
      <c r="N446" s="54">
        <v>25.96</v>
      </c>
      <c r="O446" s="55"/>
      <c r="P446" s="56"/>
      <c r="Q446" s="56"/>
      <c r="R446" s="56"/>
      <c r="S446" s="56"/>
      <c r="T446" s="57"/>
    </row>
    <row r="447" spans="1:20" ht="13.5" customHeight="1" x14ac:dyDescent="0.2">
      <c r="A447" s="53">
        <v>2046</v>
      </c>
      <c r="B447" s="54" t="s">
        <v>540</v>
      </c>
      <c r="C447" s="54">
        <v>6</v>
      </c>
      <c r="D447" s="54">
        <v>23.17</v>
      </c>
      <c r="E447" s="54">
        <v>23.38</v>
      </c>
      <c r="F447" s="54">
        <v>23.47</v>
      </c>
      <c r="G447" s="54">
        <v>23.58</v>
      </c>
      <c r="H447" s="54">
        <v>23.69</v>
      </c>
      <c r="I447" s="54">
        <v>23.79</v>
      </c>
      <c r="J447" s="54">
        <v>23.89</v>
      </c>
      <c r="K447" s="54">
        <v>23.99</v>
      </c>
      <c r="L447" s="54">
        <v>24.06</v>
      </c>
      <c r="M447" s="54">
        <v>24.28</v>
      </c>
      <c r="N447" s="54">
        <v>24.52</v>
      </c>
      <c r="O447" s="55"/>
      <c r="P447" s="56"/>
      <c r="Q447" s="56"/>
      <c r="R447" s="56"/>
      <c r="S447" s="56"/>
      <c r="T447" s="57"/>
    </row>
    <row r="448" spans="1:20" ht="13.5" customHeight="1" x14ac:dyDescent="0.2">
      <c r="A448" s="53">
        <v>2047</v>
      </c>
      <c r="B448" s="54" t="s">
        <v>541</v>
      </c>
      <c r="C448" s="54">
        <v>12</v>
      </c>
      <c r="D448" s="54">
        <v>14.94</v>
      </c>
      <c r="E448" s="54">
        <v>15.08</v>
      </c>
      <c r="F448" s="54">
        <v>15.14</v>
      </c>
      <c r="G448" s="54">
        <v>15.21</v>
      </c>
      <c r="H448" s="54">
        <v>15.27</v>
      </c>
      <c r="I448" s="54">
        <v>15.35</v>
      </c>
      <c r="J448" s="54">
        <v>15.41</v>
      </c>
      <c r="K448" s="54">
        <v>15.47</v>
      </c>
      <c r="L448" s="54">
        <v>15.52</v>
      </c>
      <c r="M448" s="54">
        <v>15.67</v>
      </c>
      <c r="N448" s="54">
        <v>15.82</v>
      </c>
      <c r="O448" s="55"/>
      <c r="P448" s="56"/>
      <c r="Q448" s="56"/>
      <c r="R448" s="56"/>
      <c r="S448" s="56"/>
      <c r="T448" s="57"/>
    </row>
    <row r="449" spans="1:20" ht="13.5" customHeight="1" x14ac:dyDescent="0.2">
      <c r="A449" s="53">
        <v>2048</v>
      </c>
      <c r="B449" s="54" t="s">
        <v>542</v>
      </c>
      <c r="C449" s="54">
        <v>12</v>
      </c>
      <c r="D449" s="54">
        <v>10.83</v>
      </c>
      <c r="E449" s="54">
        <v>10.93</v>
      </c>
      <c r="F449" s="54">
        <v>10.97</v>
      </c>
      <c r="G449" s="54">
        <v>11.02</v>
      </c>
      <c r="H449" s="54">
        <v>11.08</v>
      </c>
      <c r="I449" s="54">
        <v>11.12</v>
      </c>
      <c r="J449" s="54">
        <v>11.17</v>
      </c>
      <c r="K449" s="54">
        <v>11.21</v>
      </c>
      <c r="L449" s="54">
        <v>11.25</v>
      </c>
      <c r="M449" s="54">
        <v>11.35</v>
      </c>
      <c r="N449" s="54">
        <v>11.46</v>
      </c>
      <c r="O449" s="55"/>
      <c r="P449" s="56"/>
      <c r="Q449" s="56"/>
      <c r="R449" s="56"/>
      <c r="S449" s="56"/>
      <c r="T449" s="57"/>
    </row>
    <row r="450" spans="1:20" ht="13.5" customHeight="1" x14ac:dyDescent="0.2">
      <c r="A450" s="53">
        <v>2049</v>
      </c>
      <c r="B450" s="54" t="s">
        <v>542</v>
      </c>
      <c r="C450" s="54">
        <v>12</v>
      </c>
      <c r="D450" s="54">
        <v>10.83</v>
      </c>
      <c r="E450" s="54">
        <v>10.93</v>
      </c>
      <c r="F450" s="54">
        <v>10.97</v>
      </c>
      <c r="G450" s="54">
        <v>11.02</v>
      </c>
      <c r="H450" s="54">
        <v>11.08</v>
      </c>
      <c r="I450" s="54">
        <v>11.12</v>
      </c>
      <c r="J450" s="54">
        <v>11.17</v>
      </c>
      <c r="K450" s="54">
        <v>11.21</v>
      </c>
      <c r="L450" s="54">
        <v>11.25</v>
      </c>
      <c r="M450" s="54">
        <v>11.35</v>
      </c>
      <c r="N450" s="54">
        <v>11.46</v>
      </c>
      <c r="O450" s="55"/>
      <c r="P450" s="56"/>
      <c r="Q450" s="56"/>
      <c r="R450" s="56"/>
      <c r="S450" s="56"/>
      <c r="T450" s="57"/>
    </row>
    <row r="451" spans="1:20" ht="13.5" customHeight="1" x14ac:dyDescent="0.2">
      <c r="A451" s="53">
        <v>2051</v>
      </c>
      <c r="B451" s="54" t="s">
        <v>543</v>
      </c>
      <c r="C451" s="54">
        <v>12</v>
      </c>
      <c r="D451" s="54">
        <v>12.26</v>
      </c>
      <c r="E451" s="54">
        <v>12.36</v>
      </c>
      <c r="F451" s="54">
        <v>12.42</v>
      </c>
      <c r="G451" s="54">
        <v>12.47</v>
      </c>
      <c r="H451" s="54">
        <v>12.52</v>
      </c>
      <c r="I451" s="54">
        <v>12.59</v>
      </c>
      <c r="J451" s="54">
        <v>12.64</v>
      </c>
      <c r="K451" s="54">
        <v>12.69</v>
      </c>
      <c r="L451" s="54">
        <v>12.73</v>
      </c>
      <c r="M451" s="54">
        <v>12.84</v>
      </c>
      <c r="N451" s="54">
        <v>12.97</v>
      </c>
      <c r="O451" s="55"/>
      <c r="P451" s="56"/>
      <c r="Q451" s="56"/>
      <c r="R451" s="56"/>
      <c r="S451" s="56"/>
      <c r="T451" s="57"/>
    </row>
    <row r="452" spans="1:20" ht="13.5" customHeight="1" x14ac:dyDescent="0.2">
      <c r="A452" s="53">
        <v>2052</v>
      </c>
      <c r="B452" s="54" t="s">
        <v>544</v>
      </c>
      <c r="C452" s="54">
        <v>12</v>
      </c>
      <c r="D452" s="54">
        <v>13.57</v>
      </c>
      <c r="E452" s="54">
        <v>13.7</v>
      </c>
      <c r="F452" s="54">
        <v>13.75</v>
      </c>
      <c r="G452" s="54">
        <v>13.81</v>
      </c>
      <c r="H452" s="54">
        <v>13.88</v>
      </c>
      <c r="I452" s="54">
        <v>13.93</v>
      </c>
      <c r="J452" s="54">
        <v>13.99</v>
      </c>
      <c r="K452" s="54">
        <v>14.06</v>
      </c>
      <c r="L452" s="54">
        <v>14.09</v>
      </c>
      <c r="M452" s="54">
        <v>14.23</v>
      </c>
      <c r="N452" s="54">
        <v>14.36</v>
      </c>
      <c r="O452" s="55"/>
      <c r="P452" s="56"/>
      <c r="Q452" s="56"/>
      <c r="R452" s="56"/>
      <c r="S452" s="56"/>
      <c r="T452" s="57"/>
    </row>
    <row r="453" spans="1:20" ht="13.5" customHeight="1" x14ac:dyDescent="0.2">
      <c r="A453" s="53">
        <v>2053</v>
      </c>
      <c r="B453" s="54" t="s">
        <v>545</v>
      </c>
      <c r="C453" s="54">
        <v>6</v>
      </c>
      <c r="D453" s="54">
        <v>19.05</v>
      </c>
      <c r="E453" s="54">
        <v>19.22</v>
      </c>
      <c r="F453" s="54">
        <v>19.309999999999999</v>
      </c>
      <c r="G453" s="54">
        <v>19.39</v>
      </c>
      <c r="H453" s="54">
        <v>19.48</v>
      </c>
      <c r="I453" s="54">
        <v>19.559999999999999</v>
      </c>
      <c r="J453" s="54">
        <v>19.649999999999999</v>
      </c>
      <c r="K453" s="54">
        <v>19.73</v>
      </c>
      <c r="L453" s="54">
        <v>19.79</v>
      </c>
      <c r="M453" s="54">
        <v>19.98</v>
      </c>
      <c r="N453" s="54">
        <v>20.16</v>
      </c>
      <c r="O453" s="55"/>
      <c r="P453" s="56"/>
      <c r="Q453" s="56"/>
      <c r="R453" s="56"/>
      <c r="S453" s="56"/>
      <c r="T453" s="57"/>
    </row>
    <row r="454" spans="1:20" ht="13.5" customHeight="1" x14ac:dyDescent="0.2">
      <c r="A454" s="53">
        <v>2054</v>
      </c>
      <c r="B454" s="54" t="s">
        <v>546</v>
      </c>
      <c r="C454" s="54">
        <v>6</v>
      </c>
      <c r="D454" s="54">
        <v>20.43</v>
      </c>
      <c r="E454" s="54">
        <v>20.61</v>
      </c>
      <c r="F454" s="54">
        <v>20.7</v>
      </c>
      <c r="G454" s="54">
        <v>20.79</v>
      </c>
      <c r="H454" s="54">
        <v>20.88</v>
      </c>
      <c r="I454" s="54">
        <v>20.97</v>
      </c>
      <c r="J454" s="54">
        <v>21.07</v>
      </c>
      <c r="K454" s="54">
        <v>21.16</v>
      </c>
      <c r="L454" s="54">
        <v>21.21</v>
      </c>
      <c r="M454" s="54">
        <v>21.41</v>
      </c>
      <c r="N454" s="54">
        <v>21.62</v>
      </c>
      <c r="O454" s="55"/>
      <c r="P454" s="56"/>
      <c r="Q454" s="56"/>
      <c r="R454" s="56"/>
      <c r="S454" s="56"/>
      <c r="T454" s="57"/>
    </row>
    <row r="455" spans="1:20" ht="13.5" customHeight="1" x14ac:dyDescent="0.2">
      <c r="A455" s="53">
        <v>2055</v>
      </c>
      <c r="B455" s="54" t="s">
        <v>547</v>
      </c>
      <c r="C455" s="54">
        <v>6</v>
      </c>
      <c r="D455" s="54">
        <v>21.8</v>
      </c>
      <c r="E455" s="54">
        <v>21.99</v>
      </c>
      <c r="F455" s="54">
        <v>22.09</v>
      </c>
      <c r="G455" s="54">
        <v>22.18</v>
      </c>
      <c r="H455" s="54">
        <v>22.28</v>
      </c>
      <c r="I455" s="54">
        <v>22.38</v>
      </c>
      <c r="J455" s="54">
        <v>22.48</v>
      </c>
      <c r="K455" s="54">
        <v>22.58</v>
      </c>
      <c r="L455" s="54">
        <v>22.63</v>
      </c>
      <c r="M455" s="54">
        <v>22.84</v>
      </c>
      <c r="N455" s="54">
        <v>23.07</v>
      </c>
      <c r="O455" s="55"/>
      <c r="P455" s="56"/>
      <c r="Q455" s="56"/>
      <c r="R455" s="56"/>
      <c r="S455" s="56"/>
      <c r="T455" s="57"/>
    </row>
    <row r="456" spans="1:20" ht="13.5" customHeight="1" x14ac:dyDescent="0.2">
      <c r="A456" s="53">
        <v>2058</v>
      </c>
      <c r="B456" s="54" t="s">
        <v>548</v>
      </c>
      <c r="C456" s="54">
        <v>6</v>
      </c>
      <c r="D456" s="54">
        <v>8.09</v>
      </c>
      <c r="E456" s="54">
        <v>8.16</v>
      </c>
      <c r="F456" s="54">
        <v>8.1999999999999993</v>
      </c>
      <c r="G456" s="54">
        <v>8.23</v>
      </c>
      <c r="H456" s="54">
        <v>8.26</v>
      </c>
      <c r="I456" s="54">
        <v>8.31</v>
      </c>
      <c r="J456" s="54">
        <v>8.34</v>
      </c>
      <c r="K456" s="54">
        <v>8.3800000000000008</v>
      </c>
      <c r="L456" s="54">
        <v>8.4</v>
      </c>
      <c r="M456" s="54">
        <v>8.48</v>
      </c>
      <c r="N456" s="54">
        <v>8.56</v>
      </c>
      <c r="O456" s="55"/>
      <c r="P456" s="56"/>
      <c r="Q456" s="56"/>
      <c r="R456" s="56"/>
      <c r="S456" s="56"/>
      <c r="T456" s="57"/>
    </row>
    <row r="457" spans="1:20" ht="13.5" customHeight="1" x14ac:dyDescent="0.2">
      <c r="A457" s="53">
        <v>2059</v>
      </c>
      <c r="B457" s="54" t="s">
        <v>549</v>
      </c>
      <c r="C457" s="54">
        <v>6</v>
      </c>
      <c r="D457" s="54">
        <v>9.4600000000000009</v>
      </c>
      <c r="E457" s="54">
        <v>9.5399999999999991</v>
      </c>
      <c r="F457" s="54">
        <v>9.59</v>
      </c>
      <c r="G457" s="54">
        <v>9.6300000000000008</v>
      </c>
      <c r="H457" s="54">
        <v>9.67</v>
      </c>
      <c r="I457" s="54">
        <v>9.7100000000000009</v>
      </c>
      <c r="J457" s="54">
        <v>9.76</v>
      </c>
      <c r="K457" s="54">
        <v>9.8000000000000007</v>
      </c>
      <c r="L457" s="54">
        <v>9.82</v>
      </c>
      <c r="M457" s="54">
        <v>9.92</v>
      </c>
      <c r="N457" s="54">
        <v>10.01</v>
      </c>
      <c r="O457" s="55"/>
      <c r="P457" s="56"/>
      <c r="Q457" s="56"/>
      <c r="R457" s="56"/>
      <c r="S457" s="56"/>
      <c r="T457" s="57"/>
    </row>
    <row r="458" spans="1:20" ht="13.5" customHeight="1" x14ac:dyDescent="0.2">
      <c r="A458" s="53">
        <v>2060</v>
      </c>
      <c r="B458" s="54" t="s">
        <v>550</v>
      </c>
      <c r="C458" s="54">
        <v>6</v>
      </c>
      <c r="D458" s="54">
        <v>10.83</v>
      </c>
      <c r="E458" s="54">
        <v>10.93</v>
      </c>
      <c r="F458" s="54">
        <v>10.97</v>
      </c>
      <c r="G458" s="54">
        <v>11.02</v>
      </c>
      <c r="H458" s="54">
        <v>11.08</v>
      </c>
      <c r="I458" s="54">
        <v>11.12</v>
      </c>
      <c r="J458" s="54">
        <v>11.17</v>
      </c>
      <c r="K458" s="54">
        <v>11.21</v>
      </c>
      <c r="L458" s="54">
        <v>11.25</v>
      </c>
      <c r="M458" s="54">
        <v>11.35</v>
      </c>
      <c r="N458" s="54">
        <v>11.46</v>
      </c>
      <c r="O458" s="55"/>
      <c r="P458" s="56"/>
      <c r="Q458" s="56"/>
      <c r="R458" s="56"/>
      <c r="S458" s="56"/>
      <c r="T458" s="57"/>
    </row>
    <row r="459" spans="1:20" ht="13.5" customHeight="1" x14ac:dyDescent="0.2">
      <c r="A459" s="53">
        <v>2061</v>
      </c>
      <c r="B459" s="54" t="s">
        <v>551</v>
      </c>
      <c r="C459" s="54">
        <v>6</v>
      </c>
      <c r="D459" s="54">
        <v>12.2</v>
      </c>
      <c r="E459" s="54">
        <v>12.31</v>
      </c>
      <c r="F459" s="54">
        <v>12.36</v>
      </c>
      <c r="G459" s="54">
        <v>12.42</v>
      </c>
      <c r="H459" s="54">
        <v>12.47</v>
      </c>
      <c r="I459" s="54">
        <v>12.52</v>
      </c>
      <c r="J459" s="54">
        <v>12.58</v>
      </c>
      <c r="K459" s="54">
        <v>12.64</v>
      </c>
      <c r="L459" s="54">
        <v>12.67</v>
      </c>
      <c r="M459" s="54">
        <v>12.79</v>
      </c>
      <c r="N459" s="54">
        <v>12.91</v>
      </c>
      <c r="O459" s="55"/>
      <c r="P459" s="56"/>
      <c r="Q459" s="56"/>
      <c r="R459" s="56"/>
      <c r="S459" s="56"/>
      <c r="T459" s="57"/>
    </row>
    <row r="460" spans="1:20" ht="13.5" customHeight="1" x14ac:dyDescent="0.2">
      <c r="A460" s="53">
        <v>2062</v>
      </c>
      <c r="B460" s="54" t="s">
        <v>552</v>
      </c>
      <c r="C460" s="54">
        <v>6</v>
      </c>
      <c r="D460" s="54">
        <v>13.57</v>
      </c>
      <c r="E460" s="54">
        <v>13.7</v>
      </c>
      <c r="F460" s="54">
        <v>13.75</v>
      </c>
      <c r="G460" s="54">
        <v>13.81</v>
      </c>
      <c r="H460" s="54">
        <v>13.88</v>
      </c>
      <c r="I460" s="54">
        <v>13.93</v>
      </c>
      <c r="J460" s="54">
        <v>13.99</v>
      </c>
      <c r="K460" s="54">
        <v>14.06</v>
      </c>
      <c r="L460" s="54">
        <v>14.09</v>
      </c>
      <c r="M460" s="54">
        <v>14.23</v>
      </c>
      <c r="N460" s="54">
        <v>14.36</v>
      </c>
      <c r="O460" s="55"/>
      <c r="P460" s="56"/>
      <c r="Q460" s="56"/>
      <c r="R460" s="56"/>
      <c r="S460" s="56"/>
      <c r="T460" s="57"/>
    </row>
    <row r="461" spans="1:20" ht="13.5" customHeight="1" x14ac:dyDescent="0.2">
      <c r="A461" s="53">
        <v>2063</v>
      </c>
      <c r="B461" s="54" t="s">
        <v>553</v>
      </c>
      <c r="C461" s="54">
        <v>6</v>
      </c>
      <c r="D461" s="54">
        <v>8.09</v>
      </c>
      <c r="E461" s="54">
        <v>8.16</v>
      </c>
      <c r="F461" s="54">
        <v>8.1999999999999993</v>
      </c>
      <c r="G461" s="54">
        <v>8.23</v>
      </c>
      <c r="H461" s="54">
        <v>8.26</v>
      </c>
      <c r="I461" s="54">
        <v>8.31</v>
      </c>
      <c r="J461" s="54">
        <v>8.34</v>
      </c>
      <c r="K461" s="54">
        <v>8.3800000000000008</v>
      </c>
      <c r="L461" s="54">
        <v>8.4</v>
      </c>
      <c r="M461" s="54">
        <v>8.48</v>
      </c>
      <c r="N461" s="54">
        <v>8.56</v>
      </c>
      <c r="O461" s="55"/>
      <c r="P461" s="56"/>
      <c r="Q461" s="56"/>
      <c r="R461" s="56"/>
      <c r="S461" s="56"/>
      <c r="T461" s="57"/>
    </row>
    <row r="462" spans="1:20" ht="13.5" customHeight="1" x14ac:dyDescent="0.2">
      <c r="A462" s="53">
        <v>2064</v>
      </c>
      <c r="B462" s="54" t="s">
        <v>554</v>
      </c>
      <c r="C462" s="54">
        <v>8</v>
      </c>
      <c r="D462" s="54">
        <v>10.93</v>
      </c>
      <c r="E462" s="54">
        <v>11.02</v>
      </c>
      <c r="F462" s="54">
        <v>11.08</v>
      </c>
      <c r="G462" s="54">
        <v>11.12</v>
      </c>
      <c r="H462" s="54">
        <v>11.17</v>
      </c>
      <c r="I462" s="54">
        <v>11.21</v>
      </c>
      <c r="J462" s="54">
        <v>11.27</v>
      </c>
      <c r="K462" s="54">
        <v>11.32</v>
      </c>
      <c r="L462" s="54">
        <v>11.34</v>
      </c>
      <c r="M462" s="54">
        <v>11.45</v>
      </c>
      <c r="N462" s="54">
        <v>11.57</v>
      </c>
      <c r="O462" s="55"/>
      <c r="P462" s="56"/>
      <c r="Q462" s="56"/>
      <c r="R462" s="56"/>
      <c r="S462" s="56"/>
      <c r="T462" s="57"/>
    </row>
    <row r="463" spans="1:20" ht="13.5" customHeight="1" x14ac:dyDescent="0.2">
      <c r="A463" s="53">
        <v>2068</v>
      </c>
      <c r="B463" s="54" t="s">
        <v>555</v>
      </c>
      <c r="C463" s="54">
        <v>1</v>
      </c>
      <c r="D463" s="54">
        <v>1478.19</v>
      </c>
      <c r="E463" s="54">
        <v>1491.22</v>
      </c>
      <c r="F463" s="54">
        <v>1497.79</v>
      </c>
      <c r="G463" s="54">
        <v>1504.39</v>
      </c>
      <c r="H463" s="54">
        <v>1511</v>
      </c>
      <c r="I463" s="54">
        <v>1517.66</v>
      </c>
      <c r="J463" s="54">
        <v>1524.33</v>
      </c>
      <c r="K463" s="54">
        <v>1531.04</v>
      </c>
      <c r="L463" s="54">
        <v>1534.89</v>
      </c>
      <c r="M463" s="54">
        <v>1549.4</v>
      </c>
      <c r="N463" s="54">
        <v>1564.06</v>
      </c>
      <c r="O463" s="55"/>
      <c r="P463" s="56"/>
      <c r="Q463" s="56"/>
      <c r="R463" s="56"/>
      <c r="S463" s="56"/>
      <c r="T463" s="57"/>
    </row>
    <row r="464" spans="1:20" ht="13.5" customHeight="1" x14ac:dyDescent="0.2">
      <c r="A464" s="53">
        <v>2072</v>
      </c>
      <c r="B464" s="54" t="s">
        <v>556</v>
      </c>
      <c r="C464" s="54">
        <v>12</v>
      </c>
      <c r="D464" s="54">
        <v>13.15</v>
      </c>
      <c r="E464" s="54">
        <v>13.26</v>
      </c>
      <c r="F464" s="54">
        <v>13.32</v>
      </c>
      <c r="G464" s="54">
        <v>13.38</v>
      </c>
      <c r="H464" s="54">
        <v>13.44</v>
      </c>
      <c r="I464" s="54">
        <v>13.49</v>
      </c>
      <c r="J464" s="54">
        <v>13.56</v>
      </c>
      <c r="K464" s="54">
        <v>13.62</v>
      </c>
      <c r="L464" s="54">
        <v>13.65</v>
      </c>
      <c r="M464" s="54">
        <v>13.78</v>
      </c>
      <c r="N464" s="54">
        <v>13.91</v>
      </c>
      <c r="O464" s="55"/>
      <c r="P464" s="56"/>
      <c r="Q464" s="56"/>
      <c r="R464" s="56"/>
      <c r="S464" s="56"/>
      <c r="T464" s="57"/>
    </row>
    <row r="465" spans="1:20" ht="13.5" customHeight="1" x14ac:dyDescent="0.2">
      <c r="A465" s="53">
        <v>2073</v>
      </c>
      <c r="B465" s="54" t="s">
        <v>557</v>
      </c>
      <c r="C465" s="54">
        <v>12</v>
      </c>
      <c r="D465" s="54">
        <v>16.43</v>
      </c>
      <c r="E465" s="54">
        <v>16.579999999999998</v>
      </c>
      <c r="F465" s="54">
        <v>16.66</v>
      </c>
      <c r="G465" s="54">
        <v>16.73</v>
      </c>
      <c r="H465" s="54">
        <v>16.809999999999999</v>
      </c>
      <c r="I465" s="54">
        <v>16.88</v>
      </c>
      <c r="J465" s="54">
        <v>16.95</v>
      </c>
      <c r="K465" s="54">
        <v>17.03</v>
      </c>
      <c r="L465" s="54">
        <v>17.07</v>
      </c>
      <c r="M465" s="54">
        <v>17.23</v>
      </c>
      <c r="N465" s="54">
        <v>17.39</v>
      </c>
      <c r="O465" s="55"/>
      <c r="P465" s="56"/>
      <c r="Q465" s="56"/>
      <c r="R465" s="56"/>
      <c r="S465" s="56"/>
      <c r="T465" s="57"/>
    </row>
    <row r="466" spans="1:20" ht="13.5" customHeight="1" x14ac:dyDescent="0.2">
      <c r="A466" s="53">
        <v>2074</v>
      </c>
      <c r="B466" s="54" t="s">
        <v>558</v>
      </c>
      <c r="C466" s="54">
        <v>6</v>
      </c>
      <c r="D466" s="54">
        <v>20.55</v>
      </c>
      <c r="E466" s="54">
        <v>20.74</v>
      </c>
      <c r="F466" s="54">
        <v>20.82</v>
      </c>
      <c r="G466" s="54">
        <v>20.92</v>
      </c>
      <c r="H466" s="54">
        <v>21.01</v>
      </c>
      <c r="I466" s="54">
        <v>21.1</v>
      </c>
      <c r="J466" s="54">
        <v>21.19</v>
      </c>
      <c r="K466" s="54">
        <v>21.29</v>
      </c>
      <c r="L466" s="54">
        <v>21.34</v>
      </c>
      <c r="M466" s="54">
        <v>21.54</v>
      </c>
      <c r="N466" s="54">
        <v>21.75</v>
      </c>
      <c r="O466" s="55"/>
      <c r="P466" s="56"/>
      <c r="Q466" s="56"/>
      <c r="R466" s="56"/>
      <c r="S466" s="56"/>
      <c r="T466" s="57"/>
    </row>
    <row r="467" spans="1:20" ht="13.5" customHeight="1" x14ac:dyDescent="0.2">
      <c r="A467" s="53">
        <v>2075</v>
      </c>
      <c r="B467" s="54" t="s">
        <v>559</v>
      </c>
      <c r="C467" s="54">
        <v>1</v>
      </c>
      <c r="D467" s="54">
        <v>1870.01</v>
      </c>
      <c r="E467" s="54">
        <v>1886.51</v>
      </c>
      <c r="F467" s="54">
        <v>1894.82</v>
      </c>
      <c r="G467" s="54">
        <v>1903.16</v>
      </c>
      <c r="H467" s="54">
        <v>1911.53</v>
      </c>
      <c r="I467" s="54">
        <v>1919.94</v>
      </c>
      <c r="J467" s="54">
        <v>1928.4</v>
      </c>
      <c r="K467" s="54">
        <v>1936.88</v>
      </c>
      <c r="L467" s="54">
        <v>1941.75</v>
      </c>
      <c r="M467" s="54">
        <v>1960.11</v>
      </c>
      <c r="N467" s="54">
        <v>1978.64</v>
      </c>
      <c r="O467" s="55"/>
      <c r="P467" s="56"/>
      <c r="Q467" s="56"/>
      <c r="R467" s="56"/>
      <c r="S467" s="56"/>
      <c r="T467" s="57"/>
    </row>
    <row r="468" spans="1:20" ht="13.5" customHeight="1" x14ac:dyDescent="0.2">
      <c r="A468" s="53">
        <v>4034</v>
      </c>
      <c r="B468" s="54" t="s">
        <v>560</v>
      </c>
      <c r="C468" s="54">
        <v>6</v>
      </c>
      <c r="D468" s="54">
        <v>24.33</v>
      </c>
      <c r="E468" s="54">
        <v>24.54</v>
      </c>
      <c r="F468" s="54">
        <v>24.65</v>
      </c>
      <c r="G468" s="54">
        <v>24.76</v>
      </c>
      <c r="H468" s="54">
        <v>24.87</v>
      </c>
      <c r="I468" s="54">
        <v>24.98</v>
      </c>
      <c r="J468" s="54">
        <v>25.09</v>
      </c>
      <c r="K468" s="54">
        <v>25.2</v>
      </c>
      <c r="L468" s="54">
        <v>25.26</v>
      </c>
      <c r="M468" s="54">
        <v>25.5</v>
      </c>
      <c r="N468" s="54">
        <v>25.74</v>
      </c>
      <c r="O468" s="55"/>
      <c r="P468" s="56"/>
      <c r="Q468" s="56"/>
      <c r="R468" s="56"/>
      <c r="S468" s="56"/>
      <c r="T468" s="57"/>
    </row>
    <row r="469" spans="1:20" ht="13.5" customHeight="1" x14ac:dyDescent="0.2">
      <c r="A469" s="53">
        <v>4036</v>
      </c>
      <c r="B469" s="54" t="s">
        <v>561</v>
      </c>
      <c r="C469" s="54">
        <v>6</v>
      </c>
      <c r="D469" s="54">
        <v>15.32</v>
      </c>
      <c r="E469" s="54">
        <v>15.45</v>
      </c>
      <c r="F469" s="54">
        <v>15.52</v>
      </c>
      <c r="G469" s="54">
        <v>15.59</v>
      </c>
      <c r="H469" s="54">
        <v>15.66</v>
      </c>
      <c r="I469" s="54">
        <v>15.73</v>
      </c>
      <c r="J469" s="54">
        <v>15.8</v>
      </c>
      <c r="K469" s="54">
        <v>15.87</v>
      </c>
      <c r="L469" s="54">
        <v>15.91</v>
      </c>
      <c r="M469" s="54">
        <v>16.059999999999999</v>
      </c>
      <c r="N469" s="54">
        <v>16.21</v>
      </c>
      <c r="O469" s="55"/>
      <c r="P469" s="56"/>
      <c r="Q469" s="56"/>
      <c r="R469" s="56"/>
      <c r="S469" s="56"/>
      <c r="T469" s="57"/>
    </row>
    <row r="470" spans="1:20" ht="13.5" customHeight="1" x14ac:dyDescent="0.2">
      <c r="A470" s="53">
        <v>4038</v>
      </c>
      <c r="B470" s="54" t="s">
        <v>562</v>
      </c>
      <c r="C470" s="54">
        <v>6</v>
      </c>
      <c r="D470" s="54">
        <v>19.05</v>
      </c>
      <c r="E470" s="54">
        <v>19.22</v>
      </c>
      <c r="F470" s="54">
        <v>19.3</v>
      </c>
      <c r="G470" s="54">
        <v>19.39</v>
      </c>
      <c r="H470" s="54">
        <v>19.48</v>
      </c>
      <c r="I470" s="54">
        <v>19.559999999999999</v>
      </c>
      <c r="J470" s="54">
        <v>19.649999999999999</v>
      </c>
      <c r="K470" s="54">
        <v>19.73</v>
      </c>
      <c r="L470" s="54">
        <v>19.78</v>
      </c>
      <c r="M470" s="54">
        <v>19.97</v>
      </c>
      <c r="N470" s="54">
        <v>20.16</v>
      </c>
      <c r="O470" s="55"/>
      <c r="P470" s="56"/>
      <c r="Q470" s="56"/>
      <c r="R470" s="56"/>
      <c r="S470" s="56"/>
      <c r="T470" s="57"/>
    </row>
    <row r="471" spans="1:20" ht="13.5" customHeight="1" x14ac:dyDescent="0.2">
      <c r="A471" s="53">
        <v>4039</v>
      </c>
      <c r="B471" s="54" t="s">
        <v>563</v>
      </c>
      <c r="C471" s="54">
        <v>6</v>
      </c>
      <c r="D471" s="54">
        <v>19.18</v>
      </c>
      <c r="E471" s="54">
        <v>19.350000000000001</v>
      </c>
      <c r="F471" s="54">
        <v>19.440000000000001</v>
      </c>
      <c r="G471" s="54">
        <v>19.52</v>
      </c>
      <c r="H471" s="54">
        <v>19.61</v>
      </c>
      <c r="I471" s="54">
        <v>19.690000000000001</v>
      </c>
      <c r="J471" s="54">
        <v>19.78</v>
      </c>
      <c r="K471" s="54">
        <v>19.87</v>
      </c>
      <c r="L471" s="54">
        <v>19.920000000000002</v>
      </c>
      <c r="M471" s="54">
        <v>20.100000000000001</v>
      </c>
      <c r="N471" s="54">
        <v>20.3</v>
      </c>
      <c r="O471" s="55"/>
      <c r="P471" s="56"/>
      <c r="Q471" s="56"/>
      <c r="R471" s="56"/>
      <c r="S471" s="56"/>
      <c r="T471" s="57"/>
    </row>
    <row r="472" spans="1:20" ht="13.5" customHeight="1" x14ac:dyDescent="0.2">
      <c r="A472" s="53">
        <v>4051</v>
      </c>
      <c r="B472" s="54" t="s">
        <v>564</v>
      </c>
      <c r="C472" s="54">
        <v>6</v>
      </c>
      <c r="D472" s="54">
        <v>19.18</v>
      </c>
      <c r="E472" s="54">
        <v>19.350000000000001</v>
      </c>
      <c r="F472" s="54">
        <v>19.440000000000001</v>
      </c>
      <c r="G472" s="54">
        <v>19.52</v>
      </c>
      <c r="H472" s="54">
        <v>19.61</v>
      </c>
      <c r="I472" s="54">
        <v>19.690000000000001</v>
      </c>
      <c r="J472" s="54">
        <v>19.78</v>
      </c>
      <c r="K472" s="54">
        <v>19.87</v>
      </c>
      <c r="L472" s="54">
        <v>19.920000000000002</v>
      </c>
      <c r="M472" s="54">
        <v>20.100000000000001</v>
      </c>
      <c r="N472" s="54">
        <v>20.3</v>
      </c>
      <c r="O472" s="55"/>
      <c r="P472" s="56"/>
      <c r="Q472" s="56"/>
      <c r="R472" s="56"/>
      <c r="S472" s="56"/>
      <c r="T472" s="57"/>
    </row>
    <row r="473" spans="1:20" ht="13.5" customHeight="1" x14ac:dyDescent="0.2">
      <c r="A473" s="53">
        <v>4052</v>
      </c>
      <c r="B473" s="54" t="s">
        <v>565</v>
      </c>
      <c r="C473" s="54">
        <v>6</v>
      </c>
      <c r="D473" s="54">
        <v>19.18</v>
      </c>
      <c r="E473" s="54">
        <v>19.350000000000001</v>
      </c>
      <c r="F473" s="54">
        <v>19.440000000000001</v>
      </c>
      <c r="G473" s="54">
        <v>19.52</v>
      </c>
      <c r="H473" s="54">
        <v>19.61</v>
      </c>
      <c r="I473" s="54">
        <v>19.690000000000001</v>
      </c>
      <c r="J473" s="54">
        <v>19.78</v>
      </c>
      <c r="K473" s="54">
        <v>19.87</v>
      </c>
      <c r="L473" s="54">
        <v>19.920000000000002</v>
      </c>
      <c r="M473" s="54">
        <v>20.100000000000001</v>
      </c>
      <c r="N473" s="54">
        <v>20.3</v>
      </c>
      <c r="O473" s="55"/>
      <c r="P473" s="56"/>
      <c r="Q473" s="56"/>
      <c r="R473" s="56"/>
      <c r="S473" s="56"/>
      <c r="T473" s="57"/>
    </row>
    <row r="474" spans="1:20" ht="13.5" customHeight="1" x14ac:dyDescent="0.2">
      <c r="A474" s="53">
        <v>4059</v>
      </c>
      <c r="B474" s="54" t="s">
        <v>566</v>
      </c>
      <c r="C474" s="54">
        <v>4</v>
      </c>
      <c r="D474" s="54">
        <v>37.200000000000003</v>
      </c>
      <c r="E474" s="54">
        <v>37.53</v>
      </c>
      <c r="F474" s="54">
        <v>37.700000000000003</v>
      </c>
      <c r="G474" s="54">
        <v>37.86</v>
      </c>
      <c r="H474" s="54">
        <v>38.03</v>
      </c>
      <c r="I474" s="54">
        <v>38.200000000000003</v>
      </c>
      <c r="J474" s="54">
        <v>38.36</v>
      </c>
      <c r="K474" s="54">
        <v>38.53</v>
      </c>
      <c r="L474" s="54">
        <v>38.630000000000003</v>
      </c>
      <c r="M474" s="54">
        <v>39</v>
      </c>
      <c r="N474" s="54">
        <v>39.36</v>
      </c>
      <c r="O474" s="55"/>
      <c r="P474" s="56"/>
      <c r="Q474" s="56"/>
      <c r="R474" s="56"/>
      <c r="S474" s="56"/>
      <c r="T474" s="57"/>
    </row>
    <row r="475" spans="1:20" ht="13.5" customHeight="1" x14ac:dyDescent="0.2">
      <c r="A475" s="53">
        <v>4060</v>
      </c>
      <c r="B475" s="54" t="s">
        <v>567</v>
      </c>
      <c r="C475" s="54">
        <v>4</v>
      </c>
      <c r="D475" s="54">
        <v>27.86</v>
      </c>
      <c r="E475" s="54">
        <v>28.1</v>
      </c>
      <c r="F475" s="54">
        <v>28.23</v>
      </c>
      <c r="G475" s="54">
        <v>28.35</v>
      </c>
      <c r="H475" s="54">
        <v>28.48</v>
      </c>
      <c r="I475" s="54">
        <v>28.6</v>
      </c>
      <c r="J475" s="54">
        <v>28.73</v>
      </c>
      <c r="K475" s="54">
        <v>28.85</v>
      </c>
      <c r="L475" s="54">
        <v>28.93</v>
      </c>
      <c r="M475" s="54">
        <v>29.2</v>
      </c>
      <c r="N475" s="54">
        <v>29.48</v>
      </c>
      <c r="O475" s="55"/>
      <c r="P475" s="56"/>
      <c r="Q475" s="56"/>
      <c r="R475" s="56"/>
      <c r="S475" s="56"/>
      <c r="T475" s="57"/>
    </row>
    <row r="476" spans="1:20" ht="13.5" customHeight="1" x14ac:dyDescent="0.2">
      <c r="A476" s="53">
        <v>4065</v>
      </c>
      <c r="B476" s="54" t="s">
        <v>568</v>
      </c>
      <c r="C476" s="54">
        <v>6</v>
      </c>
      <c r="D476" s="54">
        <v>13.57</v>
      </c>
      <c r="E476" s="54">
        <v>13.7</v>
      </c>
      <c r="F476" s="54">
        <v>13.75</v>
      </c>
      <c r="G476" s="54">
        <v>13.81</v>
      </c>
      <c r="H476" s="54">
        <v>13.88</v>
      </c>
      <c r="I476" s="54">
        <v>13.93</v>
      </c>
      <c r="J476" s="54">
        <v>13.99</v>
      </c>
      <c r="K476" s="54">
        <v>14.06</v>
      </c>
      <c r="L476" s="54">
        <v>14.09</v>
      </c>
      <c r="M476" s="54">
        <v>14.23</v>
      </c>
      <c r="N476" s="54">
        <v>14.36</v>
      </c>
      <c r="O476" s="55"/>
      <c r="P476" s="56"/>
      <c r="Q476" s="56"/>
      <c r="R476" s="56"/>
      <c r="S476" s="56"/>
      <c r="T476" s="57"/>
    </row>
    <row r="477" spans="1:20" ht="13.5" customHeight="1" x14ac:dyDescent="0.2">
      <c r="A477" s="53">
        <v>4066</v>
      </c>
      <c r="B477" s="54" t="s">
        <v>569</v>
      </c>
      <c r="C477" s="54">
        <v>6</v>
      </c>
      <c r="D477" s="54">
        <v>16.61</v>
      </c>
      <c r="E477" s="54">
        <v>16.75</v>
      </c>
      <c r="F477" s="54">
        <v>16.829999999999998</v>
      </c>
      <c r="G477" s="54">
        <v>16.899999999999999</v>
      </c>
      <c r="H477" s="54">
        <v>16.97</v>
      </c>
      <c r="I477" s="54">
        <v>17.05</v>
      </c>
      <c r="J477" s="54">
        <v>17.12</v>
      </c>
      <c r="K477" s="54">
        <v>17.2</v>
      </c>
      <c r="L477" s="54">
        <v>17.239999999999998</v>
      </c>
      <c r="M477" s="54">
        <v>17.41</v>
      </c>
      <c r="N477" s="54">
        <v>17.57</v>
      </c>
      <c r="O477" s="55"/>
      <c r="P477" s="56"/>
      <c r="Q477" s="56"/>
      <c r="R477" s="56"/>
      <c r="S477" s="56"/>
      <c r="T477" s="57"/>
    </row>
    <row r="478" spans="1:20" ht="13.5" customHeight="1" x14ac:dyDescent="0.2">
      <c r="A478" s="53">
        <v>4067</v>
      </c>
      <c r="B478" s="54" t="s">
        <v>570</v>
      </c>
      <c r="C478" s="54">
        <v>6</v>
      </c>
      <c r="D478" s="54">
        <v>17.87</v>
      </c>
      <c r="E478" s="54">
        <v>18.03</v>
      </c>
      <c r="F478" s="54">
        <v>18.100000000000001</v>
      </c>
      <c r="G478" s="54">
        <v>18.18</v>
      </c>
      <c r="H478" s="54">
        <v>18.260000000000002</v>
      </c>
      <c r="I478" s="54">
        <v>18.34</v>
      </c>
      <c r="J478" s="54">
        <v>18.43</v>
      </c>
      <c r="K478" s="54">
        <v>18.510000000000002</v>
      </c>
      <c r="L478" s="54">
        <v>18.55</v>
      </c>
      <c r="M478" s="54">
        <v>18.73</v>
      </c>
      <c r="N478" s="54">
        <v>18.91</v>
      </c>
      <c r="O478" s="55"/>
      <c r="P478" s="56"/>
      <c r="Q478" s="56"/>
      <c r="R478" s="56"/>
      <c r="S478" s="56"/>
      <c r="T478" s="57"/>
    </row>
    <row r="479" spans="1:20" ht="13.5" customHeight="1" x14ac:dyDescent="0.2">
      <c r="A479" s="53">
        <v>4069</v>
      </c>
      <c r="B479" s="54" t="s">
        <v>571</v>
      </c>
      <c r="C479" s="54">
        <v>6</v>
      </c>
      <c r="D479" s="54">
        <v>13.57</v>
      </c>
      <c r="E479" s="54">
        <v>13.7</v>
      </c>
      <c r="F479" s="54">
        <v>13.75</v>
      </c>
      <c r="G479" s="54">
        <v>13.81</v>
      </c>
      <c r="H479" s="54">
        <v>13.88</v>
      </c>
      <c r="I479" s="54">
        <v>13.93</v>
      </c>
      <c r="J479" s="54">
        <v>13.99</v>
      </c>
      <c r="K479" s="54">
        <v>14.06</v>
      </c>
      <c r="L479" s="54">
        <v>14.09</v>
      </c>
      <c r="M479" s="54">
        <v>14.23</v>
      </c>
      <c r="N479" s="54">
        <v>14.36</v>
      </c>
      <c r="O479" s="55"/>
      <c r="P479" s="56"/>
      <c r="Q479" s="56"/>
      <c r="R479" s="56"/>
      <c r="S479" s="56"/>
      <c r="T479" s="57"/>
    </row>
    <row r="480" spans="1:20" ht="13.5" customHeight="1" x14ac:dyDescent="0.2">
      <c r="A480" s="53">
        <v>4071</v>
      </c>
      <c r="B480" s="54" t="s">
        <v>572</v>
      </c>
      <c r="C480" s="54">
        <v>6</v>
      </c>
      <c r="D480" s="54">
        <v>8.9600000000000009</v>
      </c>
      <c r="E480" s="54">
        <v>9.0399999999999991</v>
      </c>
      <c r="F480" s="54">
        <v>9.08</v>
      </c>
      <c r="G480" s="54">
        <v>9.1199999999999992</v>
      </c>
      <c r="H480" s="54">
        <v>9.16</v>
      </c>
      <c r="I480" s="54">
        <v>9.1999999999999993</v>
      </c>
      <c r="J480" s="54">
        <v>9.24</v>
      </c>
      <c r="K480" s="54">
        <v>9.2799999999999994</v>
      </c>
      <c r="L480" s="54">
        <v>9.3000000000000007</v>
      </c>
      <c r="M480" s="54">
        <v>9.39</v>
      </c>
      <c r="N480" s="54">
        <v>9.48</v>
      </c>
      <c r="O480" s="55"/>
      <c r="P480" s="56"/>
      <c r="Q480" s="56"/>
      <c r="R480" s="56"/>
      <c r="S480" s="56"/>
      <c r="T480" s="57"/>
    </row>
    <row r="481" spans="1:20" ht="13.5" customHeight="1" x14ac:dyDescent="0.2">
      <c r="A481" s="53">
        <v>4075</v>
      </c>
      <c r="B481" s="54" t="s">
        <v>573</v>
      </c>
      <c r="C481" s="54">
        <v>6</v>
      </c>
      <c r="D481" s="54">
        <v>12.74</v>
      </c>
      <c r="E481" s="54">
        <v>12.86</v>
      </c>
      <c r="F481" s="54">
        <v>12.91</v>
      </c>
      <c r="G481" s="54">
        <v>12.97</v>
      </c>
      <c r="H481" s="54">
        <v>13.03</v>
      </c>
      <c r="I481" s="54">
        <v>13.08</v>
      </c>
      <c r="J481" s="54">
        <v>13.14</v>
      </c>
      <c r="K481" s="54">
        <v>13.2</v>
      </c>
      <c r="L481" s="54">
        <v>13.23</v>
      </c>
      <c r="M481" s="54">
        <v>13.36</v>
      </c>
      <c r="N481" s="54">
        <v>13.48</v>
      </c>
      <c r="O481" s="55"/>
      <c r="P481" s="56"/>
      <c r="Q481" s="56"/>
      <c r="R481" s="56"/>
      <c r="S481" s="56"/>
      <c r="T481" s="57"/>
    </row>
    <row r="482" spans="1:20" ht="13.5" customHeight="1" x14ac:dyDescent="0.2">
      <c r="A482" s="53">
        <v>4076</v>
      </c>
      <c r="B482" s="54" t="s">
        <v>574</v>
      </c>
      <c r="C482" s="54">
        <v>6</v>
      </c>
      <c r="D482" s="54">
        <v>11.46</v>
      </c>
      <c r="E482" s="54">
        <v>11.56</v>
      </c>
      <c r="F482" s="54">
        <v>11.61</v>
      </c>
      <c r="G482" s="54">
        <v>11.66</v>
      </c>
      <c r="H482" s="54">
        <v>11.71</v>
      </c>
      <c r="I482" s="54">
        <v>11.77</v>
      </c>
      <c r="J482" s="54">
        <v>11.82</v>
      </c>
      <c r="K482" s="54">
        <v>11.87</v>
      </c>
      <c r="L482" s="54">
        <v>11.9</v>
      </c>
      <c r="M482" s="54">
        <v>12.01</v>
      </c>
      <c r="N482" s="54">
        <v>12.13</v>
      </c>
      <c r="O482" s="55"/>
      <c r="P482" s="56"/>
      <c r="Q482" s="56"/>
      <c r="R482" s="56"/>
      <c r="S482" s="56"/>
      <c r="T482" s="57"/>
    </row>
    <row r="483" spans="1:20" ht="13.5" customHeight="1" x14ac:dyDescent="0.2">
      <c r="A483" s="53">
        <v>4080</v>
      </c>
      <c r="B483" s="54" t="s">
        <v>575</v>
      </c>
      <c r="C483" s="54">
        <v>6</v>
      </c>
      <c r="D483" s="54">
        <v>21.32</v>
      </c>
      <c r="E483" s="54">
        <v>21.51</v>
      </c>
      <c r="F483" s="54">
        <v>21.6</v>
      </c>
      <c r="G483" s="54">
        <v>21.7</v>
      </c>
      <c r="H483" s="54">
        <v>21.79</v>
      </c>
      <c r="I483" s="54">
        <v>21.89</v>
      </c>
      <c r="J483" s="54">
        <v>21.98</v>
      </c>
      <c r="K483" s="54">
        <v>22.08</v>
      </c>
      <c r="L483" s="54">
        <v>22.14</v>
      </c>
      <c r="M483" s="54">
        <v>22.34</v>
      </c>
      <c r="N483" s="54">
        <v>22.56</v>
      </c>
      <c r="O483" s="55"/>
      <c r="P483" s="56"/>
      <c r="Q483" s="56"/>
      <c r="R483" s="56"/>
      <c r="S483" s="56"/>
      <c r="T483" s="57"/>
    </row>
    <row r="484" spans="1:20" ht="13.5" customHeight="1" x14ac:dyDescent="0.2">
      <c r="A484" s="53">
        <v>4082</v>
      </c>
      <c r="B484" s="54" t="s">
        <v>576</v>
      </c>
      <c r="C484" s="54">
        <v>6</v>
      </c>
      <c r="D484" s="54">
        <v>8.8800000000000008</v>
      </c>
      <c r="E484" s="54">
        <v>8.9600000000000009</v>
      </c>
      <c r="F484" s="54">
        <v>9</v>
      </c>
      <c r="G484" s="54">
        <v>9.0399999999999991</v>
      </c>
      <c r="H484" s="54">
        <v>9.08</v>
      </c>
      <c r="I484" s="54">
        <v>9.1199999999999992</v>
      </c>
      <c r="J484" s="54">
        <v>9.16</v>
      </c>
      <c r="K484" s="54">
        <v>9.1999999999999993</v>
      </c>
      <c r="L484" s="54">
        <v>9.2200000000000006</v>
      </c>
      <c r="M484" s="54">
        <v>9.31</v>
      </c>
      <c r="N484" s="54">
        <v>9.4</v>
      </c>
      <c r="O484" s="55"/>
      <c r="P484" s="56"/>
      <c r="Q484" s="56"/>
      <c r="R484" s="56"/>
      <c r="S484" s="56"/>
      <c r="T484" s="57"/>
    </row>
    <row r="485" spans="1:20" ht="13.5" customHeight="1" x14ac:dyDescent="0.2">
      <c r="A485" s="53">
        <v>4083</v>
      </c>
      <c r="B485" s="54" t="s">
        <v>577</v>
      </c>
      <c r="C485" s="54">
        <v>6</v>
      </c>
      <c r="D485" s="54">
        <v>12.74</v>
      </c>
      <c r="E485" s="54">
        <v>12.86</v>
      </c>
      <c r="F485" s="54">
        <v>12.91</v>
      </c>
      <c r="G485" s="54">
        <v>12.97</v>
      </c>
      <c r="H485" s="54">
        <v>13.03</v>
      </c>
      <c r="I485" s="54">
        <v>13.08</v>
      </c>
      <c r="J485" s="54">
        <v>13.14</v>
      </c>
      <c r="K485" s="54">
        <v>13.2</v>
      </c>
      <c r="L485" s="54">
        <v>13.23</v>
      </c>
      <c r="M485" s="54">
        <v>13.36</v>
      </c>
      <c r="N485" s="54">
        <v>13.48</v>
      </c>
      <c r="O485" s="55"/>
      <c r="P485" s="56"/>
      <c r="Q485" s="56"/>
      <c r="R485" s="56"/>
      <c r="S485" s="56"/>
      <c r="T485" s="57"/>
    </row>
    <row r="486" spans="1:20" ht="13.5" customHeight="1" x14ac:dyDescent="0.2">
      <c r="A486" s="53">
        <v>7016</v>
      </c>
      <c r="B486" s="54" t="s">
        <v>578</v>
      </c>
      <c r="C486" s="54">
        <v>1</v>
      </c>
      <c r="D486" s="54">
        <v>287.89999999999998</v>
      </c>
      <c r="E486" s="54">
        <v>290.45</v>
      </c>
      <c r="F486" s="54">
        <v>291.72000000000003</v>
      </c>
      <c r="G486" s="54">
        <v>293</v>
      </c>
      <c r="H486" s="54">
        <v>294.3</v>
      </c>
      <c r="I486" s="54">
        <v>295.58999999999997</v>
      </c>
      <c r="J486" s="54">
        <v>296.89</v>
      </c>
      <c r="K486" s="54">
        <v>298.2</v>
      </c>
      <c r="L486" s="54">
        <v>298.95</v>
      </c>
      <c r="M486" s="54">
        <v>301.77999999999997</v>
      </c>
      <c r="N486" s="54">
        <v>304.63</v>
      </c>
      <c r="O486" s="55"/>
      <c r="P486" s="56"/>
      <c r="Q486" s="56"/>
      <c r="R486" s="56"/>
      <c r="S486" s="56"/>
      <c r="T486" s="57"/>
    </row>
    <row r="487" spans="1:20" ht="13.5" customHeight="1" x14ac:dyDescent="0.2">
      <c r="A487" s="53">
        <v>7018</v>
      </c>
      <c r="B487" s="54" t="s">
        <v>579</v>
      </c>
      <c r="C487" s="54">
        <v>1</v>
      </c>
      <c r="D487" s="54">
        <v>774.52</v>
      </c>
      <c r="E487" s="54">
        <v>781.35</v>
      </c>
      <c r="F487" s="54">
        <v>784.79</v>
      </c>
      <c r="G487" s="54">
        <v>788.25</v>
      </c>
      <c r="H487" s="54">
        <v>791.71</v>
      </c>
      <c r="I487" s="54">
        <v>795.2</v>
      </c>
      <c r="J487" s="54">
        <v>798.7</v>
      </c>
      <c r="K487" s="54">
        <v>802.21</v>
      </c>
      <c r="L487" s="54">
        <v>804.23</v>
      </c>
      <c r="M487" s="54">
        <v>811.84</v>
      </c>
      <c r="N487" s="54">
        <v>819.51</v>
      </c>
      <c r="O487" s="55"/>
      <c r="P487" s="56"/>
      <c r="Q487" s="56"/>
      <c r="R487" s="56"/>
      <c r="S487" s="56"/>
      <c r="T487" s="57"/>
    </row>
    <row r="488" spans="1:20" ht="13.5" customHeight="1" x14ac:dyDescent="0.2">
      <c r="A488" s="53">
        <v>7103</v>
      </c>
      <c r="B488" s="54" t="s">
        <v>580</v>
      </c>
      <c r="C488" s="54">
        <v>12</v>
      </c>
      <c r="D488" s="54">
        <v>6.22</v>
      </c>
      <c r="E488" s="54">
        <v>6.27</v>
      </c>
      <c r="F488" s="54">
        <v>6.3</v>
      </c>
      <c r="G488" s="54">
        <v>6.33</v>
      </c>
      <c r="H488" s="54">
        <v>6.36</v>
      </c>
      <c r="I488" s="54">
        <v>6.38</v>
      </c>
      <c r="J488" s="54">
        <v>6.41</v>
      </c>
      <c r="K488" s="54">
        <v>6.44</v>
      </c>
      <c r="L488" s="54">
        <v>6.46</v>
      </c>
      <c r="M488" s="54">
        <v>6.52</v>
      </c>
      <c r="N488" s="54">
        <v>6.58</v>
      </c>
      <c r="O488" s="55"/>
      <c r="P488" s="56"/>
      <c r="Q488" s="56"/>
      <c r="R488" s="56"/>
      <c r="S488" s="56"/>
      <c r="T488" s="57"/>
    </row>
    <row r="489" spans="1:20" ht="13.5" customHeight="1" x14ac:dyDescent="0.2">
      <c r="A489" s="53">
        <v>7105</v>
      </c>
      <c r="B489" s="54" t="s">
        <v>581</v>
      </c>
      <c r="C489" s="54">
        <v>12</v>
      </c>
      <c r="D489" s="54">
        <v>17.89</v>
      </c>
      <c r="E489" s="54">
        <v>18.05</v>
      </c>
      <c r="F489" s="54">
        <v>18.13</v>
      </c>
      <c r="G489" s="54">
        <v>18.21</v>
      </c>
      <c r="H489" s="54">
        <v>18.29</v>
      </c>
      <c r="I489" s="54">
        <v>18.37</v>
      </c>
      <c r="J489" s="54">
        <v>18.45</v>
      </c>
      <c r="K489" s="54">
        <v>18.53</v>
      </c>
      <c r="L489" s="54">
        <v>18.579999999999998</v>
      </c>
      <c r="M489" s="54">
        <v>18.75</v>
      </c>
      <c r="N489" s="54">
        <v>18.93</v>
      </c>
      <c r="O489" s="55"/>
      <c r="P489" s="56"/>
      <c r="Q489" s="56"/>
      <c r="R489" s="56"/>
      <c r="S489" s="56"/>
      <c r="T489" s="57"/>
    </row>
    <row r="490" spans="1:20" ht="13.5" customHeight="1" x14ac:dyDescent="0.2">
      <c r="A490" s="53">
        <v>7106</v>
      </c>
      <c r="B490" s="54" t="s">
        <v>582</v>
      </c>
      <c r="C490" s="54">
        <v>12</v>
      </c>
      <c r="D490" s="54">
        <v>14.15</v>
      </c>
      <c r="E490" s="54">
        <v>14.28</v>
      </c>
      <c r="F490" s="54">
        <v>14.34</v>
      </c>
      <c r="G490" s="54">
        <v>14.4</v>
      </c>
      <c r="H490" s="54">
        <v>14.47</v>
      </c>
      <c r="I490" s="54">
        <v>14.53</v>
      </c>
      <c r="J490" s="54">
        <v>14.6</v>
      </c>
      <c r="K490" s="54">
        <v>14.66</v>
      </c>
      <c r="L490" s="54">
        <v>14.7</v>
      </c>
      <c r="M490" s="54">
        <v>14.84</v>
      </c>
      <c r="N490" s="54">
        <v>14.98</v>
      </c>
      <c r="O490" s="55"/>
      <c r="P490" s="56"/>
      <c r="Q490" s="56"/>
      <c r="R490" s="56"/>
      <c r="S490" s="56"/>
      <c r="T490" s="57"/>
    </row>
    <row r="491" spans="1:20" ht="13.5" customHeight="1" x14ac:dyDescent="0.2">
      <c r="A491" s="53">
        <v>7107</v>
      </c>
      <c r="B491" s="54" t="s">
        <v>583</v>
      </c>
      <c r="C491" s="54">
        <v>12</v>
      </c>
      <c r="D491" s="54">
        <v>21.42</v>
      </c>
      <c r="E491" s="54">
        <v>21.61</v>
      </c>
      <c r="F491" s="54">
        <v>21.71</v>
      </c>
      <c r="G491" s="54">
        <v>21.8</v>
      </c>
      <c r="H491" s="54">
        <v>21.9</v>
      </c>
      <c r="I491" s="54">
        <v>22</v>
      </c>
      <c r="J491" s="54">
        <v>22.09</v>
      </c>
      <c r="K491" s="54">
        <v>22.19</v>
      </c>
      <c r="L491" s="54">
        <v>22.25</v>
      </c>
      <c r="M491" s="54">
        <v>22.46</v>
      </c>
      <c r="N491" s="54">
        <v>22.67</v>
      </c>
      <c r="O491" s="55"/>
      <c r="P491" s="56"/>
      <c r="Q491" s="56"/>
      <c r="R491" s="56"/>
      <c r="S491" s="56"/>
      <c r="T491" s="57"/>
    </row>
    <row r="492" spans="1:20" ht="13.5" customHeight="1" x14ac:dyDescent="0.2">
      <c r="A492" s="53">
        <v>7109</v>
      </c>
      <c r="B492" s="54" t="s">
        <v>584</v>
      </c>
      <c r="C492" s="54">
        <v>24</v>
      </c>
      <c r="D492" s="54">
        <v>12.86</v>
      </c>
      <c r="E492" s="54">
        <v>12.97</v>
      </c>
      <c r="F492" s="54">
        <v>13.03</v>
      </c>
      <c r="G492" s="54">
        <v>13.09</v>
      </c>
      <c r="H492" s="54">
        <v>13.15</v>
      </c>
      <c r="I492" s="54">
        <v>13.2</v>
      </c>
      <c r="J492" s="54">
        <v>13.26</v>
      </c>
      <c r="K492" s="54">
        <v>13.32</v>
      </c>
      <c r="L492" s="54">
        <v>13.35</v>
      </c>
      <c r="M492" s="54">
        <v>13.48</v>
      </c>
      <c r="N492" s="54">
        <v>13.61</v>
      </c>
      <c r="O492" s="55"/>
      <c r="P492" s="56"/>
      <c r="Q492" s="56"/>
      <c r="R492" s="56"/>
      <c r="S492" s="56"/>
      <c r="T492" s="57"/>
    </row>
    <row r="493" spans="1:20" ht="13.5" customHeight="1" x14ac:dyDescent="0.2">
      <c r="A493" s="53">
        <v>7110</v>
      </c>
      <c r="B493" s="54" t="s">
        <v>585</v>
      </c>
      <c r="C493" s="54">
        <v>24</v>
      </c>
      <c r="D493" s="54">
        <v>13.7</v>
      </c>
      <c r="E493" s="54">
        <v>13.81</v>
      </c>
      <c r="F493" s="54">
        <v>13.88</v>
      </c>
      <c r="G493" s="54">
        <v>13.94</v>
      </c>
      <c r="H493" s="54">
        <v>14</v>
      </c>
      <c r="I493" s="54">
        <v>14.06</v>
      </c>
      <c r="J493" s="54">
        <v>14.12</v>
      </c>
      <c r="K493" s="54">
        <v>14.19</v>
      </c>
      <c r="L493" s="54">
        <v>14.22</v>
      </c>
      <c r="M493" s="54">
        <v>14.36</v>
      </c>
      <c r="N493" s="54">
        <v>14.49</v>
      </c>
      <c r="O493" s="55"/>
      <c r="P493" s="56"/>
      <c r="Q493" s="56"/>
      <c r="R493" s="56"/>
      <c r="S493" s="56"/>
      <c r="T493" s="57"/>
    </row>
    <row r="494" spans="1:20" ht="13.5" customHeight="1" x14ac:dyDescent="0.2">
      <c r="A494" s="53">
        <v>7111</v>
      </c>
      <c r="B494" s="54" t="s">
        <v>586</v>
      </c>
      <c r="C494" s="54">
        <v>12</v>
      </c>
      <c r="D494" s="54">
        <v>16.38</v>
      </c>
      <c r="E494" s="54">
        <v>16.53</v>
      </c>
      <c r="F494" s="54">
        <v>16.600000000000001</v>
      </c>
      <c r="G494" s="54">
        <v>16.670000000000002</v>
      </c>
      <c r="H494" s="54">
        <v>16.75</v>
      </c>
      <c r="I494" s="54">
        <v>16.82</v>
      </c>
      <c r="J494" s="54">
        <v>16.899999999999999</v>
      </c>
      <c r="K494" s="54">
        <v>16.97</v>
      </c>
      <c r="L494" s="54">
        <v>17.010000000000002</v>
      </c>
      <c r="M494" s="54">
        <v>17.170000000000002</v>
      </c>
      <c r="N494" s="54">
        <v>17.34</v>
      </c>
      <c r="O494" s="55"/>
      <c r="P494" s="56"/>
      <c r="Q494" s="56"/>
      <c r="R494" s="56"/>
      <c r="S494" s="56"/>
      <c r="T494" s="57"/>
    </row>
    <row r="495" spans="1:20" ht="13.5" customHeight="1" x14ac:dyDescent="0.2">
      <c r="A495" s="53">
        <v>7112</v>
      </c>
      <c r="B495" s="54" t="s">
        <v>587</v>
      </c>
      <c r="C495" s="54">
        <v>12</v>
      </c>
      <c r="D495" s="54">
        <v>20.62</v>
      </c>
      <c r="E495" s="54">
        <v>20.8</v>
      </c>
      <c r="F495" s="54">
        <v>20.9</v>
      </c>
      <c r="G495" s="54">
        <v>20.98</v>
      </c>
      <c r="H495" s="54">
        <v>21.08</v>
      </c>
      <c r="I495" s="54">
        <v>21.17</v>
      </c>
      <c r="J495" s="54">
        <v>21.27</v>
      </c>
      <c r="K495" s="54">
        <v>21.35</v>
      </c>
      <c r="L495" s="54">
        <v>21.41</v>
      </c>
      <c r="M495" s="54">
        <v>21.61</v>
      </c>
      <c r="N495" s="54">
        <v>21.82</v>
      </c>
      <c r="O495" s="55"/>
      <c r="P495" s="56"/>
      <c r="Q495" s="56"/>
      <c r="R495" s="56"/>
      <c r="S495" s="56"/>
      <c r="T495" s="57"/>
    </row>
    <row r="496" spans="1:20" ht="13.5" customHeight="1" x14ac:dyDescent="0.2">
      <c r="A496" s="53">
        <v>7113</v>
      </c>
      <c r="B496" s="54" t="s">
        <v>588</v>
      </c>
      <c r="C496" s="54">
        <v>24</v>
      </c>
      <c r="D496" s="54">
        <v>12.1</v>
      </c>
      <c r="E496" s="54">
        <v>12.2</v>
      </c>
      <c r="F496" s="54">
        <v>12.26</v>
      </c>
      <c r="G496" s="54">
        <v>12.31</v>
      </c>
      <c r="H496" s="54">
        <v>12.37</v>
      </c>
      <c r="I496" s="54">
        <v>12.42</v>
      </c>
      <c r="J496" s="54">
        <v>12.48</v>
      </c>
      <c r="K496" s="54">
        <v>12.53</v>
      </c>
      <c r="L496" s="54">
        <v>12.56</v>
      </c>
      <c r="M496" s="54">
        <v>12.68</v>
      </c>
      <c r="N496" s="54">
        <v>12.8</v>
      </c>
      <c r="O496" s="55"/>
      <c r="P496" s="56"/>
      <c r="Q496" s="56"/>
      <c r="R496" s="56"/>
      <c r="S496" s="56"/>
      <c r="T496" s="57"/>
    </row>
    <row r="497" spans="1:20" ht="13.5" customHeight="1" x14ac:dyDescent="0.2">
      <c r="A497" s="53">
        <v>7114</v>
      </c>
      <c r="B497" s="54" t="s">
        <v>589</v>
      </c>
      <c r="C497" s="54">
        <v>12</v>
      </c>
      <c r="D497" s="54">
        <v>24.67</v>
      </c>
      <c r="E497" s="54">
        <v>24.89</v>
      </c>
      <c r="F497" s="54">
        <v>25</v>
      </c>
      <c r="G497" s="54">
        <v>25.11</v>
      </c>
      <c r="H497" s="54">
        <v>25.22</v>
      </c>
      <c r="I497" s="54">
        <v>25.33</v>
      </c>
      <c r="J497" s="54">
        <v>25.44</v>
      </c>
      <c r="K497" s="54">
        <v>25.55</v>
      </c>
      <c r="L497" s="54">
        <v>25.61</v>
      </c>
      <c r="M497" s="54">
        <v>25.86</v>
      </c>
      <c r="N497" s="54">
        <v>26.1</v>
      </c>
      <c r="O497" s="55"/>
      <c r="P497" s="56"/>
      <c r="Q497" s="56"/>
      <c r="R497" s="56"/>
      <c r="S497" s="56"/>
      <c r="T497" s="57"/>
    </row>
    <row r="498" spans="1:20" ht="13.5" customHeight="1" x14ac:dyDescent="0.2">
      <c r="A498" s="53">
        <v>7117</v>
      </c>
      <c r="B498" s="54" t="s">
        <v>590</v>
      </c>
      <c r="C498" s="54">
        <v>12</v>
      </c>
      <c r="D498" s="54">
        <v>33.340000000000003</v>
      </c>
      <c r="E498" s="54">
        <v>33.630000000000003</v>
      </c>
      <c r="F498" s="54">
        <v>33.78</v>
      </c>
      <c r="G498" s="54">
        <v>33.93</v>
      </c>
      <c r="H498" s="54">
        <v>34.08</v>
      </c>
      <c r="I498" s="54">
        <v>34.229999999999997</v>
      </c>
      <c r="J498" s="54">
        <v>34.380000000000003</v>
      </c>
      <c r="K498" s="54">
        <v>34.53</v>
      </c>
      <c r="L498" s="54">
        <v>34.619999999999997</v>
      </c>
      <c r="M498" s="54">
        <v>34.94</v>
      </c>
      <c r="N498" s="54">
        <v>35.270000000000003</v>
      </c>
      <c r="O498" s="55"/>
      <c r="P498" s="56"/>
      <c r="Q498" s="56"/>
      <c r="R498" s="56"/>
      <c r="S498" s="56"/>
      <c r="T498" s="57"/>
    </row>
    <row r="499" spans="1:20" ht="13.5" customHeight="1" x14ac:dyDescent="0.2">
      <c r="A499" s="53">
        <v>7119</v>
      </c>
      <c r="B499" s="54" t="s">
        <v>361</v>
      </c>
      <c r="C499" s="54">
        <v>6</v>
      </c>
      <c r="D499" s="54">
        <v>17.89</v>
      </c>
      <c r="E499" s="54">
        <v>18.05</v>
      </c>
      <c r="F499" s="54">
        <v>18.13</v>
      </c>
      <c r="G499" s="54">
        <v>18.21</v>
      </c>
      <c r="H499" s="54">
        <v>18.29</v>
      </c>
      <c r="I499" s="54">
        <v>18.37</v>
      </c>
      <c r="J499" s="54">
        <v>18.45</v>
      </c>
      <c r="K499" s="54">
        <v>18.53</v>
      </c>
      <c r="L499" s="54">
        <v>18.579999999999998</v>
      </c>
      <c r="M499" s="54">
        <v>18.760000000000002</v>
      </c>
      <c r="N499" s="54">
        <v>18.93</v>
      </c>
      <c r="O499" s="55"/>
      <c r="P499" s="56"/>
      <c r="Q499" s="56"/>
      <c r="R499" s="56"/>
      <c r="S499" s="56"/>
      <c r="T499" s="57"/>
    </row>
    <row r="500" spans="1:20" ht="13.5" customHeight="1" x14ac:dyDescent="0.2">
      <c r="A500" s="53">
        <v>7120</v>
      </c>
      <c r="B500" s="54" t="s">
        <v>591</v>
      </c>
      <c r="C500" s="54">
        <v>6</v>
      </c>
      <c r="D500" s="54">
        <v>39.6</v>
      </c>
      <c r="E500" s="54">
        <v>39.950000000000003</v>
      </c>
      <c r="F500" s="54">
        <v>40.130000000000003</v>
      </c>
      <c r="G500" s="54">
        <v>40.31</v>
      </c>
      <c r="H500" s="54">
        <v>40.479999999999997</v>
      </c>
      <c r="I500" s="54">
        <v>40.659999999999997</v>
      </c>
      <c r="J500" s="54">
        <v>40.840000000000003</v>
      </c>
      <c r="K500" s="54">
        <v>41.02</v>
      </c>
      <c r="L500" s="54">
        <v>41.12</v>
      </c>
      <c r="M500" s="54">
        <v>41.51</v>
      </c>
      <c r="N500" s="54">
        <v>41.9</v>
      </c>
      <c r="O500" s="55"/>
      <c r="P500" s="56"/>
      <c r="Q500" s="56"/>
      <c r="R500" s="56"/>
      <c r="S500" s="56"/>
      <c r="T500" s="57"/>
    </row>
    <row r="501" spans="1:20" ht="13.5" customHeight="1" x14ac:dyDescent="0.2">
      <c r="A501" s="53">
        <v>7125</v>
      </c>
      <c r="B501" s="54" t="s">
        <v>592</v>
      </c>
      <c r="C501" s="54">
        <v>12</v>
      </c>
      <c r="D501" s="54">
        <v>36.229999999999997</v>
      </c>
      <c r="E501" s="54">
        <v>36.549999999999997</v>
      </c>
      <c r="F501" s="54">
        <v>36.71</v>
      </c>
      <c r="G501" s="54">
        <v>36.880000000000003</v>
      </c>
      <c r="H501" s="54">
        <v>37.04</v>
      </c>
      <c r="I501" s="54">
        <v>37.200000000000003</v>
      </c>
      <c r="J501" s="54">
        <v>37.369999999999997</v>
      </c>
      <c r="K501" s="54">
        <v>37.53</v>
      </c>
      <c r="L501" s="54">
        <v>37.619999999999997</v>
      </c>
      <c r="M501" s="54">
        <v>37.979999999999997</v>
      </c>
      <c r="N501" s="54">
        <v>38.340000000000003</v>
      </c>
      <c r="O501" s="55"/>
      <c r="P501" s="56"/>
      <c r="Q501" s="56"/>
      <c r="R501" s="56"/>
      <c r="S501" s="56"/>
      <c r="T501" s="57"/>
    </row>
    <row r="502" spans="1:20" ht="13.5" customHeight="1" x14ac:dyDescent="0.2">
      <c r="A502" s="53">
        <v>7126</v>
      </c>
      <c r="B502" s="54" t="s">
        <v>593</v>
      </c>
      <c r="C502" s="54">
        <v>12</v>
      </c>
      <c r="D502" s="54">
        <v>21.82</v>
      </c>
      <c r="E502" s="54">
        <v>22.01</v>
      </c>
      <c r="F502" s="54">
        <v>22.11</v>
      </c>
      <c r="G502" s="54">
        <v>22.21</v>
      </c>
      <c r="H502" s="54">
        <v>22.3</v>
      </c>
      <c r="I502" s="54">
        <v>22.4</v>
      </c>
      <c r="J502" s="54">
        <v>22.5</v>
      </c>
      <c r="K502" s="54">
        <v>22.6</v>
      </c>
      <c r="L502" s="54">
        <v>22.66</v>
      </c>
      <c r="M502" s="54">
        <v>22.87</v>
      </c>
      <c r="N502" s="54">
        <v>23.09</v>
      </c>
      <c r="O502" s="55"/>
      <c r="P502" s="56"/>
      <c r="Q502" s="56"/>
      <c r="R502" s="56"/>
      <c r="S502" s="56"/>
      <c r="T502" s="57"/>
    </row>
    <row r="503" spans="1:20" ht="13.5" customHeight="1" x14ac:dyDescent="0.2">
      <c r="A503" s="53">
        <v>8001</v>
      </c>
      <c r="B503" s="54" t="s">
        <v>594</v>
      </c>
      <c r="C503" s="54">
        <v>6</v>
      </c>
      <c r="D503" s="54">
        <v>12.74</v>
      </c>
      <c r="E503" s="54">
        <v>12.86</v>
      </c>
      <c r="F503" s="54">
        <v>12.91</v>
      </c>
      <c r="G503" s="54">
        <v>12.97</v>
      </c>
      <c r="H503" s="54">
        <v>13.03</v>
      </c>
      <c r="I503" s="54">
        <v>13.08</v>
      </c>
      <c r="J503" s="54">
        <v>13.14</v>
      </c>
      <c r="K503" s="54">
        <v>13.2</v>
      </c>
      <c r="L503" s="54">
        <v>13.23</v>
      </c>
      <c r="M503" s="54">
        <v>13.36</v>
      </c>
      <c r="N503" s="54">
        <v>13.48</v>
      </c>
      <c r="O503" s="55"/>
      <c r="P503" s="56"/>
      <c r="Q503" s="56"/>
      <c r="R503" s="56"/>
      <c r="S503" s="56"/>
      <c r="T503" s="57"/>
    </row>
    <row r="504" spans="1:20" ht="13.5" customHeight="1" x14ac:dyDescent="0.2">
      <c r="A504" s="53">
        <v>8002</v>
      </c>
      <c r="B504" s="54" t="s">
        <v>595</v>
      </c>
      <c r="C504" s="54">
        <v>6</v>
      </c>
      <c r="D504" s="54">
        <v>25.23</v>
      </c>
      <c r="E504" s="54">
        <v>25.45</v>
      </c>
      <c r="F504" s="54">
        <v>25.56</v>
      </c>
      <c r="G504" s="54">
        <v>25.67</v>
      </c>
      <c r="H504" s="54">
        <v>25.79</v>
      </c>
      <c r="I504" s="54">
        <v>25.9</v>
      </c>
      <c r="J504" s="54">
        <v>26.01</v>
      </c>
      <c r="K504" s="54">
        <v>26.13</v>
      </c>
      <c r="L504" s="54">
        <v>26.19</v>
      </c>
      <c r="M504" s="54">
        <v>26.44</v>
      </c>
      <c r="N504" s="54">
        <v>26.69</v>
      </c>
      <c r="O504" s="55"/>
      <c r="P504" s="56"/>
      <c r="Q504" s="56"/>
      <c r="R504" s="56"/>
      <c r="S504" s="56"/>
      <c r="T504" s="57"/>
    </row>
    <row r="505" spans="1:20" ht="13.5" customHeight="1" x14ac:dyDescent="0.2">
      <c r="A505" s="53">
        <v>8004</v>
      </c>
      <c r="B505" s="54" t="s">
        <v>596</v>
      </c>
      <c r="C505" s="54">
        <v>6</v>
      </c>
      <c r="D505" s="54">
        <v>14.71</v>
      </c>
      <c r="E505" s="54">
        <v>14.84</v>
      </c>
      <c r="F505" s="54">
        <v>14.91</v>
      </c>
      <c r="G505" s="54">
        <v>14.97</v>
      </c>
      <c r="H505" s="54">
        <v>15.04</v>
      </c>
      <c r="I505" s="54">
        <v>15.11</v>
      </c>
      <c r="J505" s="54">
        <v>15.17</v>
      </c>
      <c r="K505" s="54">
        <v>15.24</v>
      </c>
      <c r="L505" s="54">
        <v>15.28</v>
      </c>
      <c r="M505" s="54">
        <v>15.42</v>
      </c>
      <c r="N505" s="54">
        <v>15.57</v>
      </c>
      <c r="O505" s="55"/>
      <c r="P505" s="56"/>
      <c r="Q505" s="56"/>
      <c r="R505" s="56"/>
      <c r="S505" s="56"/>
      <c r="T505" s="57"/>
    </row>
    <row r="506" spans="1:20" ht="13.5" customHeight="1" x14ac:dyDescent="0.2">
      <c r="A506" s="53">
        <v>8011</v>
      </c>
      <c r="B506" s="54" t="s">
        <v>597</v>
      </c>
      <c r="C506" s="54">
        <v>4</v>
      </c>
      <c r="D506" s="54">
        <v>25.62</v>
      </c>
      <c r="E506" s="54">
        <v>25.84</v>
      </c>
      <c r="F506" s="54">
        <v>25.96</v>
      </c>
      <c r="G506" s="54">
        <v>26.07</v>
      </c>
      <c r="H506" s="54">
        <v>26.19</v>
      </c>
      <c r="I506" s="54">
        <v>26.3</v>
      </c>
      <c r="J506" s="54">
        <v>26.42</v>
      </c>
      <c r="K506" s="54">
        <v>26.53</v>
      </c>
      <c r="L506" s="54">
        <v>26.6</v>
      </c>
      <c r="M506" s="54">
        <v>26.85</v>
      </c>
      <c r="N506" s="54">
        <v>27.11</v>
      </c>
      <c r="O506" s="55"/>
      <c r="P506" s="56"/>
      <c r="Q506" s="56"/>
      <c r="R506" s="56"/>
      <c r="S506" s="56"/>
      <c r="T506" s="57"/>
    </row>
    <row r="507" spans="1:20" ht="13.5" customHeight="1" x14ac:dyDescent="0.2">
      <c r="A507" s="53">
        <v>8012</v>
      </c>
      <c r="B507" s="54" t="s">
        <v>598</v>
      </c>
      <c r="C507" s="54">
        <v>4</v>
      </c>
      <c r="D507" s="54">
        <v>15.72</v>
      </c>
      <c r="E507" s="54">
        <v>15.86</v>
      </c>
      <c r="F507" s="54">
        <v>15.93</v>
      </c>
      <c r="G507" s="54">
        <v>16</v>
      </c>
      <c r="H507" s="54">
        <v>16.07</v>
      </c>
      <c r="I507" s="54">
        <v>16.14</v>
      </c>
      <c r="J507" s="54">
        <v>16.21</v>
      </c>
      <c r="K507" s="54">
        <v>16.28</v>
      </c>
      <c r="L507" s="54">
        <v>16.32</v>
      </c>
      <c r="M507" s="54">
        <v>16.48</v>
      </c>
      <c r="N507" s="54">
        <v>16.63</v>
      </c>
      <c r="O507" s="55"/>
      <c r="P507" s="56"/>
      <c r="Q507" s="56"/>
      <c r="R507" s="56"/>
      <c r="S507" s="56"/>
      <c r="T507" s="57"/>
    </row>
    <row r="508" spans="1:20" ht="13.5" customHeight="1" x14ac:dyDescent="0.2">
      <c r="A508" s="53">
        <v>8014</v>
      </c>
      <c r="B508" s="54" t="s">
        <v>599</v>
      </c>
      <c r="C508" s="54">
        <v>4</v>
      </c>
      <c r="D508" s="54">
        <v>35.56</v>
      </c>
      <c r="E508" s="54">
        <v>35.869999999999997</v>
      </c>
      <c r="F508" s="54">
        <v>36.03</v>
      </c>
      <c r="G508" s="54">
        <v>36.19</v>
      </c>
      <c r="H508" s="54">
        <v>36.340000000000003</v>
      </c>
      <c r="I508" s="54">
        <v>36.5</v>
      </c>
      <c r="J508" s="54">
        <v>36.67</v>
      </c>
      <c r="K508" s="54">
        <v>36.83</v>
      </c>
      <c r="L508" s="54">
        <v>36.92</v>
      </c>
      <c r="M508" s="54">
        <v>37.270000000000003</v>
      </c>
      <c r="N508" s="54">
        <v>37.619999999999997</v>
      </c>
      <c r="O508" s="55"/>
      <c r="P508" s="56"/>
      <c r="Q508" s="56"/>
      <c r="R508" s="56"/>
      <c r="S508" s="56"/>
      <c r="T508" s="57"/>
    </row>
    <row r="509" spans="1:20" ht="13.5" customHeight="1" x14ac:dyDescent="0.2">
      <c r="A509" s="53">
        <v>8015</v>
      </c>
      <c r="B509" s="54" t="s">
        <v>600</v>
      </c>
      <c r="C509" s="54">
        <v>12</v>
      </c>
      <c r="D509" s="54">
        <v>17.82</v>
      </c>
      <c r="E509" s="54">
        <v>17.97</v>
      </c>
      <c r="F509" s="54">
        <v>18.05</v>
      </c>
      <c r="G509" s="54">
        <v>18.13</v>
      </c>
      <c r="H509" s="54">
        <v>18.21</v>
      </c>
      <c r="I509" s="54">
        <v>18.29</v>
      </c>
      <c r="J509" s="54">
        <v>18.37</v>
      </c>
      <c r="K509" s="54">
        <v>18.45</v>
      </c>
      <c r="L509" s="54">
        <v>18.5</v>
      </c>
      <c r="M509" s="54">
        <v>18.670000000000002</v>
      </c>
      <c r="N509" s="54">
        <v>18.850000000000001</v>
      </c>
      <c r="O509" s="55"/>
      <c r="P509" s="56"/>
      <c r="Q509" s="56"/>
      <c r="R509" s="56"/>
      <c r="S509" s="56"/>
      <c r="T509" s="57"/>
    </row>
    <row r="510" spans="1:20" ht="13.5" customHeight="1" x14ac:dyDescent="0.2">
      <c r="A510" s="53">
        <v>8020</v>
      </c>
      <c r="B510" s="54" t="s">
        <v>601</v>
      </c>
      <c r="C510" s="54">
        <v>12</v>
      </c>
      <c r="D510" s="54">
        <v>3.42</v>
      </c>
      <c r="E510" s="54">
        <v>3.45</v>
      </c>
      <c r="F510" s="54">
        <v>3.47</v>
      </c>
      <c r="G510" s="54">
        <v>3.48</v>
      </c>
      <c r="H510" s="54">
        <v>3.5</v>
      </c>
      <c r="I510" s="54">
        <v>3.52</v>
      </c>
      <c r="J510" s="54">
        <v>3.53</v>
      </c>
      <c r="K510" s="54">
        <v>3.55</v>
      </c>
      <c r="L510" s="54">
        <v>3.56</v>
      </c>
      <c r="M510" s="54">
        <v>3.59</v>
      </c>
      <c r="N510" s="54">
        <v>3.62</v>
      </c>
      <c r="O510" s="55"/>
      <c r="P510" s="56"/>
      <c r="Q510" s="56"/>
      <c r="R510" s="56"/>
      <c r="S510" s="56"/>
      <c r="T510" s="57"/>
    </row>
    <row r="511" spans="1:20" ht="13.5" customHeight="1" x14ac:dyDescent="0.2">
      <c r="A511" s="53">
        <v>8021</v>
      </c>
      <c r="B511" s="54" t="s">
        <v>602</v>
      </c>
      <c r="C511" s="54">
        <v>12</v>
      </c>
      <c r="D511" s="54">
        <v>8.09</v>
      </c>
      <c r="E511" s="54">
        <v>8.16</v>
      </c>
      <c r="F511" s="54">
        <v>8.1999999999999993</v>
      </c>
      <c r="G511" s="54">
        <v>8.23</v>
      </c>
      <c r="H511" s="54">
        <v>8.26</v>
      </c>
      <c r="I511" s="54">
        <v>8.31</v>
      </c>
      <c r="J511" s="54">
        <v>8.34</v>
      </c>
      <c r="K511" s="54">
        <v>8.3800000000000008</v>
      </c>
      <c r="L511" s="54">
        <v>8.4</v>
      </c>
      <c r="M511" s="54">
        <v>8.48</v>
      </c>
      <c r="N511" s="54">
        <v>8.56</v>
      </c>
      <c r="O511" s="55"/>
      <c r="P511" s="56"/>
      <c r="Q511" s="56"/>
      <c r="R511" s="56"/>
      <c r="S511" s="56"/>
      <c r="T511" s="57"/>
    </row>
    <row r="512" spans="1:20" ht="13.5" customHeight="1" x14ac:dyDescent="0.2">
      <c r="A512" s="53">
        <v>8022</v>
      </c>
      <c r="B512" s="54" t="s">
        <v>603</v>
      </c>
      <c r="C512" s="54">
        <v>6</v>
      </c>
      <c r="D512" s="54">
        <v>10.23</v>
      </c>
      <c r="E512" s="54">
        <v>10.32</v>
      </c>
      <c r="F512" s="54">
        <v>10.37</v>
      </c>
      <c r="G512" s="54">
        <v>10.42</v>
      </c>
      <c r="H512" s="54">
        <v>10.46</v>
      </c>
      <c r="I512" s="54">
        <v>10.51</v>
      </c>
      <c r="J512" s="54">
        <v>10.55</v>
      </c>
      <c r="K512" s="54">
        <v>10.6</v>
      </c>
      <c r="L512" s="54">
        <v>10.63</v>
      </c>
      <c r="M512" s="54">
        <v>10.73</v>
      </c>
      <c r="N512" s="54">
        <v>10.83</v>
      </c>
      <c r="O512" s="55"/>
      <c r="P512" s="56"/>
      <c r="Q512" s="56"/>
      <c r="R512" s="56"/>
      <c r="S512" s="56"/>
      <c r="T512" s="57"/>
    </row>
    <row r="513" spans="1:20" ht="13.5" customHeight="1" x14ac:dyDescent="0.2">
      <c r="A513" s="53">
        <v>8024</v>
      </c>
      <c r="B513" s="54" t="s">
        <v>604</v>
      </c>
      <c r="C513" s="54">
        <v>6</v>
      </c>
      <c r="D513" s="54">
        <v>11.96</v>
      </c>
      <c r="E513" s="54">
        <v>12.06</v>
      </c>
      <c r="F513" s="54">
        <v>12.11</v>
      </c>
      <c r="G513" s="54">
        <v>12.16</v>
      </c>
      <c r="H513" s="54">
        <v>12.22</v>
      </c>
      <c r="I513" s="54">
        <v>12.27</v>
      </c>
      <c r="J513" s="54">
        <v>12.33</v>
      </c>
      <c r="K513" s="54">
        <v>12.39</v>
      </c>
      <c r="L513" s="54">
        <v>12.42</v>
      </c>
      <c r="M513" s="54">
        <v>12.54</v>
      </c>
      <c r="N513" s="54">
        <v>12.65</v>
      </c>
      <c r="O513" s="55"/>
      <c r="P513" s="56"/>
      <c r="Q513" s="56"/>
      <c r="R513" s="56"/>
      <c r="S513" s="56"/>
      <c r="T513" s="57"/>
    </row>
    <row r="514" spans="1:20" ht="13.5" customHeight="1" x14ac:dyDescent="0.2">
      <c r="A514" s="53">
        <v>8025</v>
      </c>
      <c r="B514" s="54" t="s">
        <v>605</v>
      </c>
      <c r="C514" s="54">
        <v>6</v>
      </c>
      <c r="D514" s="54">
        <v>9.32</v>
      </c>
      <c r="E514" s="54">
        <v>9.4</v>
      </c>
      <c r="F514" s="54">
        <v>9.4499999999999993</v>
      </c>
      <c r="G514" s="54">
        <v>9.49</v>
      </c>
      <c r="H514" s="54">
        <v>9.5299999999999994</v>
      </c>
      <c r="I514" s="54">
        <v>9.57</v>
      </c>
      <c r="J514" s="54">
        <v>9.6199999999999992</v>
      </c>
      <c r="K514" s="54">
        <v>9.66</v>
      </c>
      <c r="L514" s="54">
        <v>9.68</v>
      </c>
      <c r="M514" s="54">
        <v>9.7799999999999994</v>
      </c>
      <c r="N514" s="54">
        <v>9.86</v>
      </c>
      <c r="O514" s="55"/>
      <c r="P514" s="56"/>
      <c r="Q514" s="56"/>
      <c r="R514" s="56"/>
      <c r="S514" s="56"/>
      <c r="T514" s="57"/>
    </row>
    <row r="515" spans="1:20" ht="13.5" customHeight="1" x14ac:dyDescent="0.2">
      <c r="A515" s="53">
        <v>8026</v>
      </c>
      <c r="B515" s="54" t="s">
        <v>606</v>
      </c>
      <c r="C515" s="54">
        <v>6</v>
      </c>
      <c r="D515" s="54">
        <v>12.76</v>
      </c>
      <c r="E515" s="54">
        <v>12.88</v>
      </c>
      <c r="F515" s="54">
        <v>12.93</v>
      </c>
      <c r="G515" s="54">
        <v>12.99</v>
      </c>
      <c r="H515" s="54">
        <v>13.05</v>
      </c>
      <c r="I515" s="54">
        <v>13.1</v>
      </c>
      <c r="J515" s="54">
        <v>13.16</v>
      </c>
      <c r="K515" s="54">
        <v>13.22</v>
      </c>
      <c r="L515" s="54">
        <v>13.25</v>
      </c>
      <c r="M515" s="54">
        <v>13.38</v>
      </c>
      <c r="N515" s="54">
        <v>13.5</v>
      </c>
      <c r="O515" s="55"/>
      <c r="P515" s="56"/>
      <c r="Q515" s="56"/>
      <c r="R515" s="56"/>
      <c r="S515" s="56"/>
      <c r="T515" s="57"/>
    </row>
    <row r="516" spans="1:20" ht="13.5" customHeight="1" x14ac:dyDescent="0.2">
      <c r="A516" s="53">
        <v>8031</v>
      </c>
      <c r="B516" s="54" t="s">
        <v>607</v>
      </c>
      <c r="C516" s="54">
        <v>6</v>
      </c>
      <c r="D516" s="54">
        <v>23.17</v>
      </c>
      <c r="E516" s="54">
        <v>23.38</v>
      </c>
      <c r="F516" s="54">
        <v>23.47</v>
      </c>
      <c r="G516" s="54">
        <v>23.58</v>
      </c>
      <c r="H516" s="54">
        <v>23.69</v>
      </c>
      <c r="I516" s="54">
        <v>23.79</v>
      </c>
      <c r="J516" s="54">
        <v>23.89</v>
      </c>
      <c r="K516" s="54">
        <v>23.99</v>
      </c>
      <c r="L516" s="54">
        <v>24.06</v>
      </c>
      <c r="M516" s="54">
        <v>24.28</v>
      </c>
      <c r="N516" s="54">
        <v>24.52</v>
      </c>
      <c r="O516" s="55"/>
      <c r="P516" s="56"/>
      <c r="Q516" s="56"/>
      <c r="R516" s="56"/>
      <c r="S516" s="56"/>
      <c r="T516" s="57"/>
    </row>
    <row r="517" spans="1:20" ht="13.5" customHeight="1" x14ac:dyDescent="0.2">
      <c r="A517" s="53">
        <v>8033</v>
      </c>
      <c r="B517" s="54" t="s">
        <v>608</v>
      </c>
      <c r="C517" s="54">
        <v>4</v>
      </c>
      <c r="D517" s="54">
        <v>20.34</v>
      </c>
      <c r="E517" s="54">
        <v>20.52</v>
      </c>
      <c r="F517" s="54">
        <v>20.61</v>
      </c>
      <c r="G517" s="54">
        <v>20.7</v>
      </c>
      <c r="H517" s="54">
        <v>20.79</v>
      </c>
      <c r="I517" s="54">
        <v>20.88</v>
      </c>
      <c r="J517" s="54">
        <v>20.97</v>
      </c>
      <c r="K517" s="54">
        <v>21.07</v>
      </c>
      <c r="L517" s="54">
        <v>21.12</v>
      </c>
      <c r="M517" s="54">
        <v>21.32</v>
      </c>
      <c r="N517" s="54">
        <v>21.52</v>
      </c>
      <c r="O517" s="55"/>
      <c r="P517" s="56"/>
      <c r="Q517" s="56"/>
      <c r="R517" s="56"/>
      <c r="S517" s="56"/>
      <c r="T517" s="57"/>
    </row>
    <row r="518" spans="1:20" ht="13.5" customHeight="1" x14ac:dyDescent="0.2">
      <c r="A518" s="53">
        <v>8035</v>
      </c>
      <c r="B518" s="54" t="s">
        <v>609</v>
      </c>
      <c r="C518" s="54">
        <v>4</v>
      </c>
      <c r="D518" s="54">
        <v>33.03</v>
      </c>
      <c r="E518" s="54">
        <v>33.32</v>
      </c>
      <c r="F518" s="54">
        <v>33.47</v>
      </c>
      <c r="G518" s="54">
        <v>33.61</v>
      </c>
      <c r="H518" s="54">
        <v>33.76</v>
      </c>
      <c r="I518" s="54">
        <v>33.909999999999997</v>
      </c>
      <c r="J518" s="54">
        <v>34.06</v>
      </c>
      <c r="K518" s="54">
        <v>34.21</v>
      </c>
      <c r="L518" s="54">
        <v>34.299999999999997</v>
      </c>
      <c r="M518" s="54">
        <v>34.619999999999997</v>
      </c>
      <c r="N518" s="54">
        <v>34.950000000000003</v>
      </c>
      <c r="O518" s="55"/>
      <c r="P518" s="56"/>
      <c r="Q518" s="56"/>
      <c r="R518" s="56"/>
      <c r="S518" s="56"/>
      <c r="T518" s="57"/>
    </row>
    <row r="519" spans="1:20" ht="13.5" customHeight="1" x14ac:dyDescent="0.2">
      <c r="A519" s="53">
        <v>8037</v>
      </c>
      <c r="B519" s="54" t="s">
        <v>610</v>
      </c>
      <c r="C519" s="54">
        <v>4</v>
      </c>
      <c r="D519" s="54">
        <v>14.03</v>
      </c>
      <c r="E519" s="54">
        <v>14.16</v>
      </c>
      <c r="F519" s="54">
        <v>14.22</v>
      </c>
      <c r="G519" s="54">
        <v>14.28</v>
      </c>
      <c r="H519" s="54">
        <v>14.34</v>
      </c>
      <c r="I519" s="54">
        <v>14.41</v>
      </c>
      <c r="J519" s="54">
        <v>14.47</v>
      </c>
      <c r="K519" s="54">
        <v>14.53</v>
      </c>
      <c r="L519" s="54">
        <v>14.57</v>
      </c>
      <c r="M519" s="54">
        <v>14.71</v>
      </c>
      <c r="N519" s="54">
        <v>14.85</v>
      </c>
      <c r="O519" s="55"/>
      <c r="P519" s="56"/>
      <c r="Q519" s="56"/>
      <c r="R519" s="56"/>
      <c r="S519" s="56"/>
      <c r="T519" s="57"/>
    </row>
    <row r="520" spans="1:20" ht="13.5" customHeight="1" x14ac:dyDescent="0.2">
      <c r="A520" s="53">
        <v>8055</v>
      </c>
      <c r="B520" s="54" t="s">
        <v>611</v>
      </c>
      <c r="C520" s="54">
        <v>6</v>
      </c>
      <c r="D520" s="54">
        <v>14.44</v>
      </c>
      <c r="E520" s="54">
        <v>14.56</v>
      </c>
      <c r="F520" s="54">
        <v>14.63</v>
      </c>
      <c r="G520" s="54">
        <v>14.7</v>
      </c>
      <c r="H520" s="54">
        <v>14.76</v>
      </c>
      <c r="I520" s="54">
        <v>14.82</v>
      </c>
      <c r="J520" s="54">
        <v>14.89</v>
      </c>
      <c r="K520" s="54">
        <v>14.95</v>
      </c>
      <c r="L520" s="54">
        <v>15</v>
      </c>
      <c r="M520" s="54">
        <v>15.13</v>
      </c>
      <c r="N520" s="54">
        <v>15.27</v>
      </c>
      <c r="O520" s="55"/>
      <c r="P520" s="56"/>
      <c r="Q520" s="56"/>
      <c r="R520" s="56"/>
      <c r="S520" s="56"/>
      <c r="T520" s="57"/>
    </row>
    <row r="521" spans="1:20" ht="13.5" customHeight="1" x14ac:dyDescent="0.2">
      <c r="A521" s="53">
        <v>8062</v>
      </c>
      <c r="B521" s="54" t="s">
        <v>612</v>
      </c>
      <c r="C521" s="54">
        <v>12</v>
      </c>
      <c r="D521" s="54">
        <v>13.57</v>
      </c>
      <c r="E521" s="54">
        <v>13.7</v>
      </c>
      <c r="F521" s="54">
        <v>13.75</v>
      </c>
      <c r="G521" s="54">
        <v>13.81</v>
      </c>
      <c r="H521" s="54">
        <v>13.88</v>
      </c>
      <c r="I521" s="54">
        <v>13.93</v>
      </c>
      <c r="J521" s="54">
        <v>13.99</v>
      </c>
      <c r="K521" s="54">
        <v>14.06</v>
      </c>
      <c r="L521" s="54">
        <v>14.09</v>
      </c>
      <c r="M521" s="54">
        <v>14.23</v>
      </c>
      <c r="N521" s="54">
        <v>14.36</v>
      </c>
      <c r="O521" s="55"/>
      <c r="P521" s="56"/>
      <c r="Q521" s="56"/>
      <c r="R521" s="56"/>
      <c r="S521" s="56"/>
      <c r="T521" s="57"/>
    </row>
    <row r="522" spans="1:20" ht="13.5" customHeight="1" x14ac:dyDescent="0.2">
      <c r="A522" s="53">
        <v>8065</v>
      </c>
      <c r="B522" s="54" t="s">
        <v>613</v>
      </c>
      <c r="C522" s="54">
        <v>6</v>
      </c>
      <c r="D522" s="54">
        <v>14.56</v>
      </c>
      <c r="E522" s="54">
        <v>14.69</v>
      </c>
      <c r="F522" s="54">
        <v>14.75</v>
      </c>
      <c r="G522" s="54">
        <v>14.81</v>
      </c>
      <c r="H522" s="54">
        <v>14.88</v>
      </c>
      <c r="I522" s="54">
        <v>14.95</v>
      </c>
      <c r="J522" s="54">
        <v>15.02</v>
      </c>
      <c r="K522" s="54">
        <v>15.08</v>
      </c>
      <c r="L522" s="54">
        <v>15.12</v>
      </c>
      <c r="M522" s="54">
        <v>15.26</v>
      </c>
      <c r="N522" s="54">
        <v>15.41</v>
      </c>
      <c r="O522" s="55"/>
      <c r="P522" s="56"/>
      <c r="Q522" s="56"/>
      <c r="R522" s="56"/>
      <c r="S522" s="56"/>
      <c r="T522" s="57"/>
    </row>
    <row r="523" spans="1:20" ht="13.5" customHeight="1" x14ac:dyDescent="0.2">
      <c r="A523" s="53">
        <v>8076</v>
      </c>
      <c r="B523" s="54" t="s">
        <v>614</v>
      </c>
      <c r="C523" s="54">
        <v>12</v>
      </c>
      <c r="D523" s="54">
        <v>12.74</v>
      </c>
      <c r="E523" s="54">
        <v>12.86</v>
      </c>
      <c r="F523" s="54">
        <v>12.91</v>
      </c>
      <c r="G523" s="54">
        <v>12.97</v>
      </c>
      <c r="H523" s="54">
        <v>13.03</v>
      </c>
      <c r="I523" s="54">
        <v>13.08</v>
      </c>
      <c r="J523" s="54">
        <v>13.14</v>
      </c>
      <c r="K523" s="54">
        <v>13.2</v>
      </c>
      <c r="L523" s="54">
        <v>13.23</v>
      </c>
      <c r="M523" s="54">
        <v>13.36</v>
      </c>
      <c r="N523" s="54">
        <v>13.48</v>
      </c>
      <c r="O523" s="55"/>
      <c r="P523" s="56"/>
      <c r="Q523" s="56"/>
      <c r="R523" s="56"/>
      <c r="S523" s="56"/>
      <c r="T523" s="57"/>
    </row>
    <row r="524" spans="1:20" ht="13.5" customHeight="1" x14ac:dyDescent="0.2">
      <c r="A524" s="53">
        <v>8080</v>
      </c>
      <c r="B524" s="54" t="s">
        <v>615</v>
      </c>
      <c r="C524" s="54">
        <v>4</v>
      </c>
      <c r="D524" s="54">
        <v>33.340000000000003</v>
      </c>
      <c r="E524" s="54">
        <v>33.64</v>
      </c>
      <c r="F524" s="54">
        <v>33.78</v>
      </c>
      <c r="G524" s="54">
        <v>33.93</v>
      </c>
      <c r="H524" s="54">
        <v>34.08</v>
      </c>
      <c r="I524" s="54">
        <v>34.229999999999997</v>
      </c>
      <c r="J524" s="54">
        <v>34.380000000000003</v>
      </c>
      <c r="K524" s="54">
        <v>34.53</v>
      </c>
      <c r="L524" s="54">
        <v>34.619999999999997</v>
      </c>
      <c r="M524" s="54">
        <v>34.950000000000003</v>
      </c>
      <c r="N524" s="54">
        <v>35.28</v>
      </c>
      <c r="O524" s="55"/>
      <c r="P524" s="56"/>
      <c r="Q524" s="56"/>
      <c r="R524" s="56"/>
      <c r="S524" s="56"/>
      <c r="T524" s="57"/>
    </row>
    <row r="525" spans="1:20" ht="13.5" customHeight="1" x14ac:dyDescent="0.2">
      <c r="A525" s="53">
        <v>8089</v>
      </c>
      <c r="B525" s="54" t="s">
        <v>616</v>
      </c>
      <c r="C525" s="54">
        <v>12</v>
      </c>
      <c r="D525" s="54">
        <v>9.4600000000000009</v>
      </c>
      <c r="E525" s="54">
        <v>9.5399999999999991</v>
      </c>
      <c r="F525" s="54">
        <v>9.59</v>
      </c>
      <c r="G525" s="54">
        <v>9.6300000000000008</v>
      </c>
      <c r="H525" s="54">
        <v>9.67</v>
      </c>
      <c r="I525" s="54">
        <v>9.7100000000000009</v>
      </c>
      <c r="J525" s="54">
        <v>9.76</v>
      </c>
      <c r="K525" s="54">
        <v>9.8000000000000007</v>
      </c>
      <c r="L525" s="54">
        <v>9.82</v>
      </c>
      <c r="M525" s="54">
        <v>9.92</v>
      </c>
      <c r="N525" s="54">
        <v>10.01</v>
      </c>
      <c r="O525" s="55"/>
      <c r="P525" s="56"/>
      <c r="Q525" s="56"/>
      <c r="R525" s="56"/>
      <c r="S525" s="56"/>
      <c r="T525" s="57"/>
    </row>
    <row r="526" spans="1:20" ht="13.5" customHeight="1" x14ac:dyDescent="0.2">
      <c r="A526" s="53">
        <v>8104</v>
      </c>
      <c r="B526" s="54" t="s">
        <v>617</v>
      </c>
      <c r="C526" s="54">
        <v>5</v>
      </c>
      <c r="D526" s="54">
        <v>11.03</v>
      </c>
      <c r="E526" s="54">
        <v>11.13</v>
      </c>
      <c r="F526" s="54">
        <v>11.18</v>
      </c>
      <c r="G526" s="54">
        <v>11.23</v>
      </c>
      <c r="H526" s="54">
        <v>11.28</v>
      </c>
      <c r="I526" s="54">
        <v>11.33</v>
      </c>
      <c r="J526" s="54">
        <v>11.38</v>
      </c>
      <c r="K526" s="54">
        <v>11.43</v>
      </c>
      <c r="L526" s="54">
        <v>11.46</v>
      </c>
      <c r="M526" s="54">
        <v>11.57</v>
      </c>
      <c r="N526" s="54">
        <v>11.67</v>
      </c>
      <c r="O526" s="55"/>
      <c r="P526" s="56"/>
      <c r="Q526" s="56"/>
      <c r="R526" s="56"/>
      <c r="S526" s="56"/>
      <c r="T526" s="57"/>
    </row>
    <row r="527" spans="1:20" ht="13.5" customHeight="1" x14ac:dyDescent="0.2">
      <c r="A527" s="53">
        <v>8111</v>
      </c>
      <c r="B527" s="54" t="s">
        <v>618</v>
      </c>
      <c r="C527" s="54">
        <v>12</v>
      </c>
      <c r="D527" s="54">
        <v>7.6</v>
      </c>
      <c r="E527" s="54">
        <v>7.66</v>
      </c>
      <c r="F527" s="54">
        <v>7.7</v>
      </c>
      <c r="G527" s="54">
        <v>7.73</v>
      </c>
      <c r="H527" s="54">
        <v>7.76</v>
      </c>
      <c r="I527" s="54">
        <v>7.8</v>
      </c>
      <c r="J527" s="54">
        <v>7.83</v>
      </c>
      <c r="K527" s="54">
        <v>7.87</v>
      </c>
      <c r="L527" s="54">
        <v>7.89</v>
      </c>
      <c r="M527" s="54">
        <v>7.96</v>
      </c>
      <c r="N527" s="54">
        <v>8.0399999999999991</v>
      </c>
      <c r="O527" s="55"/>
      <c r="P527" s="56"/>
      <c r="Q527" s="56"/>
      <c r="R527" s="56"/>
      <c r="S527" s="56"/>
      <c r="T527" s="57"/>
    </row>
    <row r="528" spans="1:20" ht="13.5" customHeight="1" x14ac:dyDescent="0.2">
      <c r="A528" s="53">
        <v>8112</v>
      </c>
      <c r="B528" s="54" t="s">
        <v>619</v>
      </c>
      <c r="C528" s="54">
        <v>12</v>
      </c>
      <c r="D528" s="54">
        <v>9.06</v>
      </c>
      <c r="E528" s="54">
        <v>9.14</v>
      </c>
      <c r="F528" s="54">
        <v>9.18</v>
      </c>
      <c r="G528" s="54">
        <v>9.2200000000000006</v>
      </c>
      <c r="H528" s="54">
        <v>9.27</v>
      </c>
      <c r="I528" s="54">
        <v>9.31</v>
      </c>
      <c r="J528" s="54">
        <v>9.34</v>
      </c>
      <c r="K528" s="54">
        <v>9.3800000000000008</v>
      </c>
      <c r="L528" s="54">
        <v>9.41</v>
      </c>
      <c r="M528" s="54">
        <v>9.5</v>
      </c>
      <c r="N528" s="54">
        <v>9.59</v>
      </c>
      <c r="O528" s="55"/>
      <c r="P528" s="56"/>
      <c r="Q528" s="56"/>
      <c r="R528" s="56"/>
      <c r="S528" s="56"/>
      <c r="T528" s="57"/>
    </row>
    <row r="529" spans="1:20" ht="13.5" customHeight="1" x14ac:dyDescent="0.2">
      <c r="A529" s="53">
        <v>8113</v>
      </c>
      <c r="B529" s="54" t="s">
        <v>620</v>
      </c>
      <c r="C529" s="54">
        <v>12</v>
      </c>
      <c r="D529" s="54">
        <v>10.27</v>
      </c>
      <c r="E529" s="54">
        <v>10.36</v>
      </c>
      <c r="F529" s="54">
        <v>10.41</v>
      </c>
      <c r="G529" s="54">
        <v>10.45</v>
      </c>
      <c r="H529" s="54">
        <v>10.5</v>
      </c>
      <c r="I529" s="54">
        <v>10.55</v>
      </c>
      <c r="J529" s="54">
        <v>10.59</v>
      </c>
      <c r="K529" s="54">
        <v>10.64</v>
      </c>
      <c r="L529" s="54">
        <v>10.67</v>
      </c>
      <c r="M529" s="54">
        <v>10.77</v>
      </c>
      <c r="N529" s="54">
        <v>10.87</v>
      </c>
      <c r="O529" s="55"/>
      <c r="P529" s="56"/>
      <c r="Q529" s="56"/>
      <c r="R529" s="56"/>
      <c r="S529" s="56"/>
      <c r="T529" s="57"/>
    </row>
    <row r="530" spans="1:20" ht="13.5" customHeight="1" x14ac:dyDescent="0.2">
      <c r="A530" s="53">
        <v>8115</v>
      </c>
      <c r="B530" s="54" t="s">
        <v>621</v>
      </c>
      <c r="C530" s="54">
        <v>5</v>
      </c>
      <c r="D530" s="54">
        <v>12.74</v>
      </c>
      <c r="E530" s="54">
        <v>12.86</v>
      </c>
      <c r="F530" s="54">
        <v>12.91</v>
      </c>
      <c r="G530" s="54">
        <v>12.97</v>
      </c>
      <c r="H530" s="54">
        <v>13.03</v>
      </c>
      <c r="I530" s="54">
        <v>13.08</v>
      </c>
      <c r="J530" s="54">
        <v>13.14</v>
      </c>
      <c r="K530" s="54">
        <v>13.2</v>
      </c>
      <c r="L530" s="54">
        <v>13.23</v>
      </c>
      <c r="M530" s="54">
        <v>13.36</v>
      </c>
      <c r="N530" s="54">
        <v>13.48</v>
      </c>
      <c r="O530" s="55"/>
      <c r="P530" s="56"/>
      <c r="Q530" s="56"/>
      <c r="R530" s="56"/>
      <c r="S530" s="56"/>
      <c r="T530" s="57"/>
    </row>
    <row r="531" spans="1:20" ht="13.5" customHeight="1" x14ac:dyDescent="0.2">
      <c r="A531" s="53">
        <v>8119</v>
      </c>
      <c r="B531" s="54" t="s">
        <v>622</v>
      </c>
      <c r="C531" s="54">
        <v>6</v>
      </c>
      <c r="D531" s="54">
        <v>13.57</v>
      </c>
      <c r="E531" s="54">
        <v>13.7</v>
      </c>
      <c r="F531" s="54">
        <v>13.75</v>
      </c>
      <c r="G531" s="54">
        <v>13.81</v>
      </c>
      <c r="H531" s="54">
        <v>13.88</v>
      </c>
      <c r="I531" s="54">
        <v>13.93</v>
      </c>
      <c r="J531" s="54">
        <v>13.99</v>
      </c>
      <c r="K531" s="54">
        <v>14.06</v>
      </c>
      <c r="L531" s="54">
        <v>14.09</v>
      </c>
      <c r="M531" s="54">
        <v>14.23</v>
      </c>
      <c r="N531" s="54">
        <v>14.36</v>
      </c>
      <c r="O531" s="55"/>
      <c r="P531" s="56"/>
      <c r="Q531" s="56"/>
      <c r="R531" s="56"/>
      <c r="S531" s="56"/>
      <c r="T531" s="57"/>
    </row>
    <row r="532" spans="1:20" ht="13.5" customHeight="1" x14ac:dyDescent="0.2">
      <c r="A532" s="53">
        <v>8150</v>
      </c>
      <c r="B532" s="54" t="s">
        <v>623</v>
      </c>
      <c r="C532" s="54">
        <v>12</v>
      </c>
      <c r="D532" s="54">
        <v>67.650000000000006</v>
      </c>
      <c r="E532" s="54">
        <v>68.25</v>
      </c>
      <c r="F532" s="54">
        <v>68.540000000000006</v>
      </c>
      <c r="G532" s="54">
        <v>68.84</v>
      </c>
      <c r="H532" s="54">
        <v>69.150000000000006</v>
      </c>
      <c r="I532" s="54">
        <v>69.45</v>
      </c>
      <c r="J532" s="54">
        <v>69.760000000000005</v>
      </c>
      <c r="K532" s="54">
        <v>70.069999999999993</v>
      </c>
      <c r="L532" s="54">
        <v>70.239999999999995</v>
      </c>
      <c r="M532" s="54">
        <v>70.91</v>
      </c>
      <c r="N532" s="54">
        <v>71.58</v>
      </c>
      <c r="O532" s="55"/>
      <c r="P532" s="56"/>
      <c r="Q532" s="56"/>
      <c r="R532" s="56"/>
      <c r="S532" s="56"/>
      <c r="T532" s="57"/>
    </row>
    <row r="533" spans="1:20" ht="13.5" customHeight="1" x14ac:dyDescent="0.2">
      <c r="A533" s="53">
        <v>8152</v>
      </c>
      <c r="B533" s="54" t="s">
        <v>624</v>
      </c>
      <c r="C533" s="54">
        <v>12</v>
      </c>
      <c r="D533" s="54">
        <v>28.19</v>
      </c>
      <c r="E533" s="54">
        <v>28.44</v>
      </c>
      <c r="F533" s="54">
        <v>28.57</v>
      </c>
      <c r="G533" s="54">
        <v>28.69</v>
      </c>
      <c r="H533" s="54">
        <v>28.82</v>
      </c>
      <c r="I533" s="54">
        <v>28.94</v>
      </c>
      <c r="J533" s="54">
        <v>29.07</v>
      </c>
      <c r="K533" s="54">
        <v>29.2</v>
      </c>
      <c r="L533" s="54">
        <v>29.27</v>
      </c>
      <c r="M533" s="54">
        <v>29.55</v>
      </c>
      <c r="N533" s="54">
        <v>29.83</v>
      </c>
      <c r="O533" s="55"/>
      <c r="P533" s="56"/>
      <c r="Q533" s="56"/>
      <c r="R533" s="56"/>
      <c r="S533" s="56"/>
      <c r="T533" s="57"/>
    </row>
    <row r="534" spans="1:20" ht="13.5" customHeight="1" x14ac:dyDescent="0.2">
      <c r="A534" s="53">
        <v>8153</v>
      </c>
      <c r="B534" s="54" t="s">
        <v>625</v>
      </c>
      <c r="C534" s="54">
        <v>12</v>
      </c>
      <c r="D534" s="54">
        <v>39.619999999999997</v>
      </c>
      <c r="E534" s="54">
        <v>39.97</v>
      </c>
      <c r="F534" s="54">
        <v>40.15</v>
      </c>
      <c r="G534" s="54">
        <v>40.32</v>
      </c>
      <c r="H534" s="54">
        <v>40.5</v>
      </c>
      <c r="I534" s="54">
        <v>40.68</v>
      </c>
      <c r="J534" s="54">
        <v>40.85</v>
      </c>
      <c r="K534" s="54">
        <v>41.03</v>
      </c>
      <c r="L534" s="54">
        <v>41.14</v>
      </c>
      <c r="M534" s="54">
        <v>41.54</v>
      </c>
      <c r="N534" s="54">
        <v>41.92</v>
      </c>
      <c r="O534" s="55"/>
      <c r="P534" s="56"/>
      <c r="Q534" s="56"/>
      <c r="R534" s="56"/>
      <c r="S534" s="56"/>
      <c r="T534" s="57"/>
    </row>
    <row r="535" spans="1:20" ht="13.5" customHeight="1" x14ac:dyDescent="0.2">
      <c r="A535" s="53">
        <v>8155</v>
      </c>
      <c r="B535" s="54" t="s">
        <v>626</v>
      </c>
      <c r="C535" s="54">
        <v>12</v>
      </c>
      <c r="D535" s="54">
        <v>32.049999999999997</v>
      </c>
      <c r="E535" s="54">
        <v>32.340000000000003</v>
      </c>
      <c r="F535" s="54">
        <v>32.479999999999997</v>
      </c>
      <c r="G535" s="54">
        <v>32.619999999999997</v>
      </c>
      <c r="H535" s="54">
        <v>32.770000000000003</v>
      </c>
      <c r="I535" s="54">
        <v>32.909999999999997</v>
      </c>
      <c r="J535" s="54">
        <v>33.049999999999997</v>
      </c>
      <c r="K535" s="54">
        <v>33.200000000000003</v>
      </c>
      <c r="L535" s="54">
        <v>33.28</v>
      </c>
      <c r="M535" s="54">
        <v>33.6</v>
      </c>
      <c r="N535" s="54">
        <v>33.92</v>
      </c>
      <c r="O535" s="55"/>
      <c r="P535" s="56"/>
      <c r="Q535" s="56"/>
      <c r="R535" s="56"/>
      <c r="S535" s="56"/>
      <c r="T535" s="57"/>
    </row>
    <row r="536" spans="1:20" ht="13.5" customHeight="1" x14ac:dyDescent="0.2">
      <c r="A536" s="53">
        <v>8156</v>
      </c>
      <c r="B536" s="54" t="s">
        <v>627</v>
      </c>
      <c r="C536" s="54">
        <v>12</v>
      </c>
      <c r="D536" s="54">
        <v>63.63</v>
      </c>
      <c r="E536" s="54">
        <v>64.19</v>
      </c>
      <c r="F536" s="54">
        <v>64.48</v>
      </c>
      <c r="G536" s="54">
        <v>64.760000000000005</v>
      </c>
      <c r="H536" s="54">
        <v>65.040000000000006</v>
      </c>
      <c r="I536" s="54">
        <v>65.33</v>
      </c>
      <c r="J536" s="54">
        <v>65.62</v>
      </c>
      <c r="K536" s="54">
        <v>65.91</v>
      </c>
      <c r="L536" s="54">
        <v>66.069999999999993</v>
      </c>
      <c r="M536" s="54">
        <v>66.7</v>
      </c>
      <c r="N536" s="54">
        <v>67.33</v>
      </c>
      <c r="O536" s="55"/>
      <c r="P536" s="56"/>
      <c r="Q536" s="56"/>
      <c r="R536" s="56"/>
      <c r="S536" s="56"/>
      <c r="T536" s="57"/>
    </row>
    <row r="537" spans="1:20" ht="13.5" customHeight="1" x14ac:dyDescent="0.2">
      <c r="A537" s="53">
        <v>8157</v>
      </c>
      <c r="B537" s="54" t="s">
        <v>628</v>
      </c>
      <c r="C537" s="54">
        <v>6</v>
      </c>
      <c r="D537" s="54">
        <v>51.64</v>
      </c>
      <c r="E537" s="54">
        <v>52.1</v>
      </c>
      <c r="F537" s="54">
        <v>52.33</v>
      </c>
      <c r="G537" s="54">
        <v>52.56</v>
      </c>
      <c r="H537" s="54">
        <v>52.79</v>
      </c>
      <c r="I537" s="54">
        <v>53.03</v>
      </c>
      <c r="J537" s="54">
        <v>53.26</v>
      </c>
      <c r="K537" s="54">
        <v>53.49</v>
      </c>
      <c r="L537" s="54">
        <v>53.62</v>
      </c>
      <c r="M537" s="54">
        <v>54.13</v>
      </c>
      <c r="N537" s="54">
        <v>54.65</v>
      </c>
      <c r="O537" s="55"/>
      <c r="P537" s="56"/>
      <c r="Q537" s="56"/>
      <c r="R537" s="56"/>
      <c r="S537" s="56"/>
      <c r="T537" s="57"/>
    </row>
    <row r="538" spans="1:20" ht="13.5" customHeight="1" x14ac:dyDescent="0.2">
      <c r="A538" s="53">
        <v>8328</v>
      </c>
      <c r="B538" s="54" t="s">
        <v>629</v>
      </c>
      <c r="C538" s="54">
        <v>12</v>
      </c>
      <c r="D538" s="54">
        <v>6.17</v>
      </c>
      <c r="E538" s="54">
        <v>6.22</v>
      </c>
      <c r="F538" s="54">
        <v>6.25</v>
      </c>
      <c r="G538" s="54">
        <v>6.28</v>
      </c>
      <c r="H538" s="54">
        <v>6.3</v>
      </c>
      <c r="I538" s="54">
        <v>6.34</v>
      </c>
      <c r="J538" s="54">
        <v>6.36</v>
      </c>
      <c r="K538" s="54">
        <v>6.39</v>
      </c>
      <c r="L538" s="54">
        <v>6.41</v>
      </c>
      <c r="M538" s="54">
        <v>6.46</v>
      </c>
      <c r="N538" s="54">
        <v>6.53</v>
      </c>
      <c r="O538" s="55"/>
      <c r="P538" s="56"/>
      <c r="Q538" s="56"/>
      <c r="R538" s="56"/>
      <c r="S538" s="56"/>
      <c r="T538" s="57"/>
    </row>
    <row r="539" spans="1:20" ht="13.5" customHeight="1" x14ac:dyDescent="0.2">
      <c r="A539" s="53">
        <v>9090</v>
      </c>
      <c r="B539" s="54" t="s">
        <v>630</v>
      </c>
      <c r="C539" s="54">
        <v>12</v>
      </c>
      <c r="D539" s="54">
        <v>12.74</v>
      </c>
      <c r="E539" s="54">
        <v>12.86</v>
      </c>
      <c r="F539" s="54">
        <v>12.91</v>
      </c>
      <c r="G539" s="54">
        <v>12.97</v>
      </c>
      <c r="H539" s="54">
        <v>13.03</v>
      </c>
      <c r="I539" s="54">
        <v>13.08</v>
      </c>
      <c r="J539" s="54">
        <v>13.14</v>
      </c>
      <c r="K539" s="54">
        <v>13.2</v>
      </c>
      <c r="L539" s="54">
        <v>13.23</v>
      </c>
      <c r="M539" s="54">
        <v>13.36</v>
      </c>
      <c r="N539" s="54">
        <v>13.48</v>
      </c>
      <c r="O539" s="55"/>
      <c r="P539" s="56"/>
      <c r="Q539" s="56"/>
      <c r="R539" s="56"/>
      <c r="S539" s="56"/>
      <c r="T539" s="57"/>
    </row>
    <row r="540" spans="1:20" ht="13.5" customHeight="1" x14ac:dyDescent="0.2">
      <c r="A540" s="53">
        <v>9092</v>
      </c>
      <c r="B540" s="54" t="s">
        <v>631</v>
      </c>
      <c r="C540" s="54">
        <v>6</v>
      </c>
      <c r="D540" s="54">
        <v>12.74</v>
      </c>
      <c r="E540" s="54">
        <v>12.86</v>
      </c>
      <c r="F540" s="54">
        <v>12.91</v>
      </c>
      <c r="G540" s="54">
        <v>12.97</v>
      </c>
      <c r="H540" s="54">
        <v>13.03</v>
      </c>
      <c r="I540" s="54">
        <v>13.08</v>
      </c>
      <c r="J540" s="54">
        <v>13.14</v>
      </c>
      <c r="K540" s="54">
        <v>13.2</v>
      </c>
      <c r="L540" s="54">
        <v>13.23</v>
      </c>
      <c r="M540" s="54">
        <v>13.36</v>
      </c>
      <c r="N540" s="54">
        <v>13.48</v>
      </c>
      <c r="O540" s="55"/>
      <c r="P540" s="56"/>
      <c r="Q540" s="56"/>
      <c r="R540" s="56"/>
      <c r="S540" s="56"/>
      <c r="T540" s="57"/>
    </row>
    <row r="541" spans="1:20" ht="13.5" customHeight="1" x14ac:dyDescent="0.2">
      <c r="A541" s="53">
        <v>9093</v>
      </c>
      <c r="B541" s="54" t="s">
        <v>632</v>
      </c>
      <c r="C541" s="54">
        <v>6</v>
      </c>
      <c r="D541" s="54">
        <v>44.93</v>
      </c>
      <c r="E541" s="54">
        <v>45.32</v>
      </c>
      <c r="F541" s="54">
        <v>45.52</v>
      </c>
      <c r="G541" s="54">
        <v>45.72</v>
      </c>
      <c r="H541" s="54">
        <v>45.92</v>
      </c>
      <c r="I541" s="54">
        <v>46.13</v>
      </c>
      <c r="J541" s="54">
        <v>46.33</v>
      </c>
      <c r="K541" s="54">
        <v>46.53</v>
      </c>
      <c r="L541" s="54">
        <v>46.65</v>
      </c>
      <c r="M541" s="54">
        <v>47.09</v>
      </c>
      <c r="N541" s="54">
        <v>47.54</v>
      </c>
      <c r="O541" s="55"/>
      <c r="P541" s="56"/>
      <c r="Q541" s="56"/>
      <c r="R541" s="56"/>
      <c r="S541" s="56"/>
      <c r="T541" s="57"/>
    </row>
    <row r="542" spans="1:20" ht="13.5" customHeight="1" x14ac:dyDescent="0.2">
      <c r="A542" s="53">
        <v>9102</v>
      </c>
      <c r="B542" s="54" t="s">
        <v>633</v>
      </c>
      <c r="C542" s="54">
        <v>8</v>
      </c>
      <c r="D542" s="54">
        <v>10.17</v>
      </c>
      <c r="E542" s="54">
        <v>10.26</v>
      </c>
      <c r="F542" s="54">
        <v>10.3</v>
      </c>
      <c r="G542" s="54">
        <v>10.35</v>
      </c>
      <c r="H542" s="54">
        <v>10.4</v>
      </c>
      <c r="I542" s="54">
        <v>10.44</v>
      </c>
      <c r="J542" s="54">
        <v>10.49</v>
      </c>
      <c r="K542" s="54">
        <v>10.53</v>
      </c>
      <c r="L542" s="54">
        <v>10.56</v>
      </c>
      <c r="M542" s="54">
        <v>10.66</v>
      </c>
      <c r="N542" s="54">
        <v>10.76</v>
      </c>
      <c r="O542" s="55"/>
      <c r="P542" s="56"/>
      <c r="Q542" s="56"/>
      <c r="R542" s="56"/>
      <c r="S542" s="56"/>
      <c r="T542" s="57"/>
    </row>
    <row r="543" spans="1:20" ht="13.5" customHeight="1" x14ac:dyDescent="0.2">
      <c r="A543" s="53">
        <v>9111</v>
      </c>
      <c r="B543" s="54" t="s">
        <v>634</v>
      </c>
      <c r="C543" s="54">
        <v>8</v>
      </c>
      <c r="D543" s="54">
        <v>24.33</v>
      </c>
      <c r="E543" s="54">
        <v>24.54</v>
      </c>
      <c r="F543" s="54">
        <v>24.65</v>
      </c>
      <c r="G543" s="54">
        <v>24.76</v>
      </c>
      <c r="H543" s="54">
        <v>24.87</v>
      </c>
      <c r="I543" s="54">
        <v>24.98</v>
      </c>
      <c r="J543" s="54">
        <v>25.09</v>
      </c>
      <c r="K543" s="54">
        <v>25.2</v>
      </c>
      <c r="L543" s="54">
        <v>25.26</v>
      </c>
      <c r="M543" s="54">
        <v>25.5</v>
      </c>
      <c r="N543" s="54">
        <v>25.74</v>
      </c>
      <c r="O543" s="55"/>
      <c r="P543" s="56"/>
      <c r="Q543" s="56"/>
      <c r="R543" s="56"/>
      <c r="S543" s="56"/>
      <c r="T543" s="57"/>
    </row>
    <row r="544" spans="1:20" ht="13.5" customHeight="1" x14ac:dyDescent="0.2">
      <c r="A544" s="53">
        <v>9112</v>
      </c>
      <c r="B544" s="54" t="s">
        <v>635</v>
      </c>
      <c r="C544" s="54">
        <v>8</v>
      </c>
      <c r="D544" s="54">
        <v>23.04</v>
      </c>
      <c r="E544" s="54">
        <v>23.25</v>
      </c>
      <c r="F544" s="54">
        <v>23.35</v>
      </c>
      <c r="G544" s="54">
        <v>23.45</v>
      </c>
      <c r="H544" s="54">
        <v>23.55</v>
      </c>
      <c r="I544" s="54">
        <v>23.66</v>
      </c>
      <c r="J544" s="54">
        <v>23.76</v>
      </c>
      <c r="K544" s="54">
        <v>23.87</v>
      </c>
      <c r="L544" s="54">
        <v>23.93</v>
      </c>
      <c r="M544" s="54">
        <v>24.15</v>
      </c>
      <c r="N544" s="54">
        <v>24.38</v>
      </c>
      <c r="O544" s="55"/>
      <c r="P544" s="56"/>
      <c r="Q544" s="56"/>
      <c r="R544" s="56"/>
      <c r="S544" s="56"/>
      <c r="T544" s="57"/>
    </row>
    <row r="545" spans="1:20" ht="13.5" customHeight="1" x14ac:dyDescent="0.2">
      <c r="A545" s="53">
        <v>9122</v>
      </c>
      <c r="B545" s="54" t="s">
        <v>636</v>
      </c>
      <c r="C545" s="54">
        <v>12</v>
      </c>
      <c r="D545" s="54">
        <v>12.74</v>
      </c>
      <c r="E545" s="54">
        <v>12.86</v>
      </c>
      <c r="F545" s="54">
        <v>12.91</v>
      </c>
      <c r="G545" s="54">
        <v>12.97</v>
      </c>
      <c r="H545" s="54">
        <v>13.03</v>
      </c>
      <c r="I545" s="54">
        <v>13.08</v>
      </c>
      <c r="J545" s="54">
        <v>13.14</v>
      </c>
      <c r="K545" s="54">
        <v>13.2</v>
      </c>
      <c r="L545" s="54">
        <v>13.23</v>
      </c>
      <c r="M545" s="54">
        <v>13.36</v>
      </c>
      <c r="N545" s="54">
        <v>13.48</v>
      </c>
      <c r="O545" s="55"/>
      <c r="P545" s="56"/>
      <c r="Q545" s="56"/>
      <c r="R545" s="56"/>
      <c r="S545" s="56"/>
      <c r="T545" s="57"/>
    </row>
    <row r="546" spans="1:20" ht="13.5" customHeight="1" x14ac:dyDescent="0.2">
      <c r="A546" s="53">
        <v>9123</v>
      </c>
      <c r="B546" s="54" t="s">
        <v>637</v>
      </c>
      <c r="C546" s="54">
        <v>12</v>
      </c>
      <c r="D546" s="54">
        <v>30.02</v>
      </c>
      <c r="E546" s="54">
        <v>30.29</v>
      </c>
      <c r="F546" s="54">
        <v>30.43</v>
      </c>
      <c r="G546" s="54">
        <v>30.55</v>
      </c>
      <c r="H546" s="54">
        <v>30.69</v>
      </c>
      <c r="I546" s="54">
        <v>30.82</v>
      </c>
      <c r="J546" s="54">
        <v>30.96</v>
      </c>
      <c r="K546" s="54">
        <v>31.1</v>
      </c>
      <c r="L546" s="54">
        <v>31.17</v>
      </c>
      <c r="M546" s="54">
        <v>31.47</v>
      </c>
      <c r="N546" s="54">
        <v>31.77</v>
      </c>
      <c r="O546" s="55"/>
      <c r="P546" s="56"/>
      <c r="Q546" s="56"/>
      <c r="R546" s="56"/>
      <c r="S546" s="56"/>
      <c r="T546" s="57"/>
    </row>
    <row r="547" spans="1:20" ht="13.5" customHeight="1" x14ac:dyDescent="0.2">
      <c r="A547" s="53">
        <v>9124</v>
      </c>
      <c r="B547" s="54" t="s">
        <v>638</v>
      </c>
      <c r="C547" s="54">
        <v>12</v>
      </c>
      <c r="D547" s="54">
        <v>21.8</v>
      </c>
      <c r="E547" s="54">
        <v>21.99</v>
      </c>
      <c r="F547" s="54">
        <v>22.09</v>
      </c>
      <c r="G547" s="54">
        <v>22.18</v>
      </c>
      <c r="H547" s="54">
        <v>22.28</v>
      </c>
      <c r="I547" s="54">
        <v>22.38</v>
      </c>
      <c r="J547" s="54">
        <v>22.48</v>
      </c>
      <c r="K547" s="54">
        <v>22.58</v>
      </c>
      <c r="L547" s="54">
        <v>22.63</v>
      </c>
      <c r="M547" s="54">
        <v>22.84</v>
      </c>
      <c r="N547" s="54">
        <v>23.07</v>
      </c>
      <c r="O547" s="55"/>
      <c r="P547" s="56"/>
      <c r="Q547" s="56"/>
      <c r="R547" s="56"/>
      <c r="S547" s="56"/>
      <c r="T547" s="57"/>
    </row>
    <row r="548" spans="1:20" ht="13.5" customHeight="1" x14ac:dyDescent="0.2">
      <c r="A548" s="53">
        <v>9125</v>
      </c>
      <c r="B548" s="54" t="s">
        <v>639</v>
      </c>
      <c r="C548" s="54">
        <v>12</v>
      </c>
      <c r="D548" s="54">
        <v>16.32</v>
      </c>
      <c r="E548" s="54">
        <v>16.45</v>
      </c>
      <c r="F548" s="54">
        <v>16.53</v>
      </c>
      <c r="G548" s="54">
        <v>16.600000000000001</v>
      </c>
      <c r="H548" s="54">
        <v>16.68</v>
      </c>
      <c r="I548" s="54">
        <v>16.75</v>
      </c>
      <c r="J548" s="54">
        <v>16.829999999999998</v>
      </c>
      <c r="K548" s="54">
        <v>16.899999999999999</v>
      </c>
      <c r="L548" s="54">
        <v>16.940000000000001</v>
      </c>
      <c r="M548" s="54">
        <v>17.100000000000001</v>
      </c>
      <c r="N548" s="54">
        <v>17.260000000000002</v>
      </c>
      <c r="O548" s="55"/>
      <c r="P548" s="56"/>
      <c r="Q548" s="56"/>
      <c r="R548" s="56"/>
      <c r="S548" s="56"/>
      <c r="T548" s="57"/>
    </row>
    <row r="549" spans="1:20" ht="13.5" customHeight="1" x14ac:dyDescent="0.2">
      <c r="A549" s="53">
        <v>9126</v>
      </c>
      <c r="B549" s="54" t="s">
        <v>640</v>
      </c>
      <c r="C549" s="54">
        <v>12</v>
      </c>
      <c r="D549" s="54">
        <v>24.54</v>
      </c>
      <c r="E549" s="54">
        <v>24.76</v>
      </c>
      <c r="F549" s="54">
        <v>24.87</v>
      </c>
      <c r="G549" s="54">
        <v>24.97</v>
      </c>
      <c r="H549" s="54">
        <v>25.08</v>
      </c>
      <c r="I549" s="54">
        <v>25.2</v>
      </c>
      <c r="J549" s="54">
        <v>25.3</v>
      </c>
      <c r="K549" s="54">
        <v>25.42</v>
      </c>
      <c r="L549" s="54">
        <v>25.49</v>
      </c>
      <c r="M549" s="54">
        <v>25.72</v>
      </c>
      <c r="N549" s="54">
        <v>25.96</v>
      </c>
      <c r="O549" s="55"/>
      <c r="P549" s="56"/>
      <c r="Q549" s="56"/>
      <c r="R549" s="56"/>
      <c r="S549" s="56"/>
      <c r="T549" s="57"/>
    </row>
    <row r="550" spans="1:20" ht="13.5" customHeight="1" x14ac:dyDescent="0.2">
      <c r="A550" s="53">
        <v>9127</v>
      </c>
      <c r="B550" s="54" t="s">
        <v>641</v>
      </c>
      <c r="C550" s="54">
        <v>12</v>
      </c>
      <c r="D550" s="54">
        <v>21.8</v>
      </c>
      <c r="E550" s="54">
        <v>21.99</v>
      </c>
      <c r="F550" s="54">
        <v>22.09</v>
      </c>
      <c r="G550" s="54">
        <v>22.18</v>
      </c>
      <c r="H550" s="54">
        <v>22.28</v>
      </c>
      <c r="I550" s="54">
        <v>22.38</v>
      </c>
      <c r="J550" s="54">
        <v>22.48</v>
      </c>
      <c r="K550" s="54">
        <v>22.58</v>
      </c>
      <c r="L550" s="54">
        <v>22.63</v>
      </c>
      <c r="M550" s="54">
        <v>22.84</v>
      </c>
      <c r="N550" s="54">
        <v>23.07</v>
      </c>
      <c r="O550" s="55"/>
      <c r="P550" s="56"/>
      <c r="Q550" s="56"/>
      <c r="R550" s="56"/>
      <c r="S550" s="56"/>
      <c r="T550" s="57"/>
    </row>
    <row r="551" spans="1:20" ht="13.5" customHeight="1" x14ac:dyDescent="0.2">
      <c r="A551" s="53">
        <v>9128</v>
      </c>
      <c r="B551" s="54" t="s">
        <v>642</v>
      </c>
      <c r="C551" s="54">
        <v>12</v>
      </c>
      <c r="D551" s="54">
        <v>16.32</v>
      </c>
      <c r="E551" s="54">
        <v>16.45</v>
      </c>
      <c r="F551" s="54">
        <v>16.53</v>
      </c>
      <c r="G551" s="54">
        <v>16.600000000000001</v>
      </c>
      <c r="H551" s="54">
        <v>16.68</v>
      </c>
      <c r="I551" s="54">
        <v>16.75</v>
      </c>
      <c r="J551" s="54">
        <v>16.829999999999998</v>
      </c>
      <c r="K551" s="54">
        <v>16.899999999999999</v>
      </c>
      <c r="L551" s="54">
        <v>16.940000000000001</v>
      </c>
      <c r="M551" s="54">
        <v>17.100000000000001</v>
      </c>
      <c r="N551" s="54">
        <v>17.260000000000002</v>
      </c>
      <c r="O551" s="55"/>
      <c r="P551" s="56"/>
      <c r="Q551" s="56"/>
      <c r="R551" s="56"/>
      <c r="S551" s="56"/>
      <c r="T551" s="57"/>
    </row>
    <row r="552" spans="1:20" ht="13.5" customHeight="1" x14ac:dyDescent="0.2">
      <c r="A552" s="53">
        <v>9129</v>
      </c>
      <c r="B552" s="54" t="s">
        <v>643</v>
      </c>
      <c r="C552" s="54">
        <v>12</v>
      </c>
      <c r="D552" s="54">
        <v>23.17</v>
      </c>
      <c r="E552" s="54">
        <v>23.38</v>
      </c>
      <c r="F552" s="54">
        <v>23.47</v>
      </c>
      <c r="G552" s="54">
        <v>23.58</v>
      </c>
      <c r="H552" s="54">
        <v>23.69</v>
      </c>
      <c r="I552" s="54">
        <v>23.79</v>
      </c>
      <c r="J552" s="54">
        <v>23.89</v>
      </c>
      <c r="K552" s="54">
        <v>23.99</v>
      </c>
      <c r="L552" s="54">
        <v>24.06</v>
      </c>
      <c r="M552" s="54">
        <v>24.28</v>
      </c>
      <c r="N552" s="54">
        <v>24.52</v>
      </c>
      <c r="O552" s="55"/>
      <c r="P552" s="56"/>
      <c r="Q552" s="56"/>
      <c r="R552" s="56"/>
      <c r="S552" s="56"/>
      <c r="T552" s="57"/>
    </row>
    <row r="553" spans="1:20" ht="13.5" customHeight="1" x14ac:dyDescent="0.2">
      <c r="A553" s="53">
        <v>9131</v>
      </c>
      <c r="B553" s="54" t="s">
        <v>644</v>
      </c>
      <c r="C553" s="54">
        <v>12</v>
      </c>
      <c r="D553" s="54">
        <v>21.8</v>
      </c>
      <c r="E553" s="54">
        <v>21.99</v>
      </c>
      <c r="F553" s="54">
        <v>22.09</v>
      </c>
      <c r="G553" s="54">
        <v>22.18</v>
      </c>
      <c r="H553" s="54">
        <v>22.28</v>
      </c>
      <c r="I553" s="54">
        <v>22.38</v>
      </c>
      <c r="J553" s="54">
        <v>22.48</v>
      </c>
      <c r="K553" s="54">
        <v>22.58</v>
      </c>
      <c r="L553" s="54">
        <v>22.63</v>
      </c>
      <c r="M553" s="54">
        <v>22.84</v>
      </c>
      <c r="N553" s="54">
        <v>23.07</v>
      </c>
      <c r="O553" s="55"/>
      <c r="P553" s="56"/>
      <c r="Q553" s="56"/>
      <c r="R553" s="56"/>
      <c r="S553" s="56"/>
      <c r="T553" s="57"/>
    </row>
    <row r="554" spans="1:20" ht="13.5" customHeight="1" x14ac:dyDescent="0.2">
      <c r="A554" s="58">
        <v>2050</v>
      </c>
      <c r="B554" s="58" t="s">
        <v>645</v>
      </c>
      <c r="C554" s="58">
        <v>12</v>
      </c>
      <c r="D554" s="58">
        <v>20.43</v>
      </c>
      <c r="E554" s="58">
        <v>20.61</v>
      </c>
      <c r="F554" s="58">
        <v>20.7</v>
      </c>
      <c r="G554" s="58">
        <v>20.79</v>
      </c>
      <c r="H554" s="58">
        <v>20.88</v>
      </c>
      <c r="I554" s="58">
        <v>20.97</v>
      </c>
      <c r="J554" s="58">
        <v>21.07</v>
      </c>
      <c r="K554" s="58">
        <v>21.16</v>
      </c>
      <c r="L554" s="58">
        <v>21.21</v>
      </c>
      <c r="M554" s="58">
        <v>21.41</v>
      </c>
      <c r="N554" s="58">
        <v>21.62</v>
      </c>
      <c r="O554" s="55"/>
      <c r="P554" s="56"/>
      <c r="Q554" s="56"/>
      <c r="R554" s="56"/>
      <c r="S554" s="56"/>
      <c r="T554" s="57"/>
    </row>
    <row r="555" spans="1:20" ht="13.5" customHeight="1" x14ac:dyDescent="0.2">
      <c r="A555" s="58">
        <v>2057</v>
      </c>
      <c r="B555" s="58" t="s">
        <v>646</v>
      </c>
      <c r="C555" s="58">
        <v>1</v>
      </c>
      <c r="D555" s="58">
        <v>1365.49</v>
      </c>
      <c r="E555" s="58">
        <v>1377.53</v>
      </c>
      <c r="F555" s="58">
        <v>1383.61</v>
      </c>
      <c r="G555" s="58">
        <v>1389.69</v>
      </c>
      <c r="H555" s="58">
        <v>1395.81</v>
      </c>
      <c r="I555" s="58">
        <v>1401.96</v>
      </c>
      <c r="J555" s="58">
        <v>1408.12</v>
      </c>
      <c r="K555" s="58">
        <v>1414.32</v>
      </c>
      <c r="L555" s="58">
        <v>1417.88</v>
      </c>
      <c r="M555" s="58">
        <v>1431.29</v>
      </c>
      <c r="N555" s="58">
        <v>1444.81</v>
      </c>
      <c r="O555" s="55"/>
      <c r="P555" s="56"/>
      <c r="Q555" s="56"/>
      <c r="R555" s="56"/>
      <c r="S555" s="56"/>
      <c r="T555" s="57"/>
    </row>
    <row r="556" spans="1:20" ht="13.5" customHeight="1" x14ac:dyDescent="0.2">
      <c r="A556" s="59">
        <v>2080</v>
      </c>
      <c r="B556" s="59" t="s">
        <v>647</v>
      </c>
      <c r="C556" s="59">
        <v>6</v>
      </c>
      <c r="D556" s="59">
        <v>10.83</v>
      </c>
      <c r="E556" s="59">
        <v>10.93</v>
      </c>
      <c r="F556" s="59">
        <v>10.97</v>
      </c>
      <c r="G556" s="59">
        <v>11.02</v>
      </c>
      <c r="H556" s="59">
        <v>11.08</v>
      </c>
      <c r="I556" s="59">
        <v>11.12</v>
      </c>
      <c r="J556" s="59">
        <v>11.17</v>
      </c>
      <c r="K556" s="59">
        <v>11.21</v>
      </c>
      <c r="L556" s="59">
        <v>11.25</v>
      </c>
      <c r="M556" s="59">
        <v>11.35</v>
      </c>
      <c r="N556" s="59">
        <v>11.46</v>
      </c>
      <c r="O556" s="55"/>
      <c r="P556" s="56"/>
      <c r="Q556" s="56"/>
      <c r="R556" s="56"/>
      <c r="S556" s="56"/>
      <c r="T556" s="57"/>
    </row>
    <row r="557" spans="1:20" ht="13.5" customHeight="1" x14ac:dyDescent="0.2">
      <c r="A557" s="59">
        <v>2081</v>
      </c>
      <c r="B557" s="59" t="s">
        <v>648</v>
      </c>
      <c r="C557" s="59">
        <v>6</v>
      </c>
      <c r="D557" s="59">
        <v>13.57</v>
      </c>
      <c r="E557" s="59">
        <v>13.7</v>
      </c>
      <c r="F557" s="59">
        <v>13.75</v>
      </c>
      <c r="G557" s="59">
        <v>13.81</v>
      </c>
      <c r="H557" s="59">
        <v>13.88</v>
      </c>
      <c r="I557" s="59">
        <v>13.93</v>
      </c>
      <c r="J557" s="59">
        <v>13.99</v>
      </c>
      <c r="K557" s="59">
        <v>14.06</v>
      </c>
      <c r="L557" s="59">
        <v>14.09</v>
      </c>
      <c r="M557" s="59">
        <v>14.23</v>
      </c>
      <c r="N557" s="59">
        <v>14.36</v>
      </c>
      <c r="O557" s="55"/>
      <c r="P557" s="56"/>
      <c r="Q557" s="56"/>
      <c r="R557" s="56"/>
      <c r="S557" s="56"/>
      <c r="T557" s="57"/>
    </row>
    <row r="558" spans="1:20" ht="13.5" customHeight="1" x14ac:dyDescent="0.2">
      <c r="A558" s="59">
        <v>2082</v>
      </c>
      <c r="B558" s="59" t="s">
        <v>649</v>
      </c>
      <c r="C558" s="59">
        <v>6</v>
      </c>
      <c r="D558" s="59">
        <v>16.32</v>
      </c>
      <c r="E558" s="59">
        <v>16.45</v>
      </c>
      <c r="F558" s="59">
        <v>16.53</v>
      </c>
      <c r="G558" s="59">
        <v>16.600000000000001</v>
      </c>
      <c r="H558" s="59">
        <v>16.68</v>
      </c>
      <c r="I558" s="59">
        <v>16.75</v>
      </c>
      <c r="J558" s="59">
        <v>16.829999999999998</v>
      </c>
      <c r="K558" s="59">
        <v>16.899999999999999</v>
      </c>
      <c r="L558" s="59">
        <v>16.940000000000001</v>
      </c>
      <c r="M558" s="59">
        <v>17.100000000000001</v>
      </c>
      <c r="N558" s="59">
        <v>17.260000000000002</v>
      </c>
      <c r="O558" s="55"/>
      <c r="P558" s="56"/>
      <c r="Q558" s="56"/>
      <c r="R558" s="56"/>
      <c r="S558" s="56"/>
      <c r="T558" s="57"/>
    </row>
    <row r="559" spans="1:20" ht="13.5" customHeight="1" x14ac:dyDescent="0.2">
      <c r="A559" s="59">
        <v>2083</v>
      </c>
      <c r="B559" s="59" t="s">
        <v>650</v>
      </c>
      <c r="C559" s="59">
        <v>6</v>
      </c>
      <c r="D559" s="59">
        <v>21.25</v>
      </c>
      <c r="E559" s="59">
        <v>21.44</v>
      </c>
      <c r="F559" s="59">
        <v>21.53</v>
      </c>
      <c r="G559" s="59">
        <v>21.63</v>
      </c>
      <c r="H559" s="59">
        <v>21.73</v>
      </c>
      <c r="I559" s="59">
        <v>21.82</v>
      </c>
      <c r="J559" s="59">
        <v>21.92</v>
      </c>
      <c r="K559" s="59">
        <v>22.01</v>
      </c>
      <c r="L559" s="59">
        <v>22.07</v>
      </c>
      <c r="M559" s="59">
        <v>22.27</v>
      </c>
      <c r="N559" s="59">
        <v>22.48</v>
      </c>
      <c r="O559" s="55"/>
      <c r="P559" s="56"/>
      <c r="Q559" s="56"/>
      <c r="R559" s="56"/>
      <c r="S559" s="56"/>
      <c r="T559" s="57"/>
    </row>
    <row r="560" spans="1:20" ht="13.5" customHeight="1" x14ac:dyDescent="0.2">
      <c r="A560" s="59">
        <v>2086</v>
      </c>
      <c r="B560" s="59" t="s">
        <v>651</v>
      </c>
      <c r="C560" s="59">
        <v>3</v>
      </c>
      <c r="D560" s="59">
        <v>300.24</v>
      </c>
      <c r="E560" s="59">
        <v>302.89999999999998</v>
      </c>
      <c r="F560" s="59">
        <v>304.23</v>
      </c>
      <c r="G560" s="59">
        <v>305.57</v>
      </c>
      <c r="H560" s="59">
        <v>306.91000000000003</v>
      </c>
      <c r="I560" s="59">
        <v>308.26</v>
      </c>
      <c r="J560" s="59">
        <v>309.62</v>
      </c>
      <c r="K560" s="59">
        <v>310.98</v>
      </c>
      <c r="L560" s="59">
        <v>311.76</v>
      </c>
      <c r="M560" s="59">
        <v>314.70999999999998</v>
      </c>
      <c r="N560" s="59">
        <v>317.69</v>
      </c>
      <c r="O560" s="55"/>
      <c r="P560" s="56"/>
      <c r="Q560" s="56"/>
      <c r="R560" s="56"/>
      <c r="S560" s="56"/>
      <c r="T560" s="57"/>
    </row>
    <row r="561" spans="1:20" ht="13.5" customHeight="1" x14ac:dyDescent="0.2">
      <c r="A561" s="59">
        <v>2123</v>
      </c>
      <c r="B561" s="59" t="s">
        <v>652</v>
      </c>
      <c r="C561" s="59">
        <v>1</v>
      </c>
      <c r="D561" s="59">
        <v>1367.55</v>
      </c>
      <c r="E561" s="59">
        <v>1379.61</v>
      </c>
      <c r="F561" s="59">
        <v>1385.68</v>
      </c>
      <c r="G561" s="59">
        <v>1391.78</v>
      </c>
      <c r="H561" s="59">
        <v>1397.91</v>
      </c>
      <c r="I561" s="59">
        <v>1404.06</v>
      </c>
      <c r="J561" s="59">
        <v>1410.24</v>
      </c>
      <c r="K561" s="59">
        <v>1416.45</v>
      </c>
      <c r="L561" s="59">
        <v>1420.01</v>
      </c>
      <c r="M561" s="59">
        <v>1433.44</v>
      </c>
      <c r="N561" s="59">
        <v>1446.99</v>
      </c>
      <c r="O561" s="55"/>
      <c r="P561" s="56"/>
      <c r="Q561" s="56"/>
      <c r="R561" s="56"/>
      <c r="S561" s="56"/>
      <c r="T561" s="57"/>
    </row>
    <row r="562" spans="1:20" ht="13.5" customHeight="1" x14ac:dyDescent="0.2">
      <c r="A562" s="59">
        <v>2124</v>
      </c>
      <c r="B562" s="59" t="s">
        <v>653</v>
      </c>
      <c r="C562" s="59">
        <v>1</v>
      </c>
      <c r="D562" s="59">
        <v>1197.8900000000001</v>
      </c>
      <c r="E562" s="59">
        <v>1208.46</v>
      </c>
      <c r="F562" s="59">
        <v>1213.78</v>
      </c>
      <c r="G562" s="59">
        <v>1219.1199999999999</v>
      </c>
      <c r="H562" s="59">
        <v>1224.48</v>
      </c>
      <c r="I562" s="59">
        <v>1229.8699999999999</v>
      </c>
      <c r="J562" s="59">
        <v>1235.28</v>
      </c>
      <c r="K562" s="59">
        <v>1240.73</v>
      </c>
      <c r="L562" s="59">
        <v>1243.8499999999999</v>
      </c>
      <c r="M562" s="59">
        <v>1255.5999999999999</v>
      </c>
      <c r="N562" s="59">
        <v>1267.48</v>
      </c>
      <c r="O562" s="55"/>
      <c r="P562" s="56"/>
      <c r="Q562" s="56"/>
      <c r="R562" s="56"/>
      <c r="S562" s="56"/>
      <c r="T562" s="57"/>
    </row>
    <row r="563" spans="1:20" ht="13.5" customHeight="1" x14ac:dyDescent="0.2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5"/>
      <c r="P563" s="56"/>
      <c r="Q563" s="56"/>
      <c r="R563" s="56"/>
      <c r="S563" s="56"/>
      <c r="T563" s="57"/>
    </row>
    <row r="564" spans="1:20" ht="13.5" customHeight="1" x14ac:dyDescent="0.2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5"/>
      <c r="P564" s="56"/>
      <c r="Q564" s="56"/>
      <c r="R564" s="56"/>
      <c r="S564" s="56"/>
      <c r="T564" s="57"/>
    </row>
    <row r="565" spans="1:20" ht="13.5" customHeight="1" x14ac:dyDescent="0.2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5"/>
      <c r="P565" s="56"/>
      <c r="Q565" s="56"/>
      <c r="R565" s="56"/>
      <c r="S565" s="56"/>
      <c r="T565" s="57"/>
    </row>
    <row r="566" spans="1:20" ht="13.5" customHeight="1" x14ac:dyDescent="0.2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5"/>
      <c r="P566" s="56"/>
      <c r="Q566" s="56"/>
      <c r="R566" s="56"/>
      <c r="S566" s="56"/>
      <c r="T566" s="57"/>
    </row>
    <row r="567" spans="1:20" ht="13.5" customHeight="1" x14ac:dyDescent="0.2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5"/>
      <c r="P567" s="56"/>
      <c r="Q567" s="56"/>
      <c r="R567" s="56"/>
      <c r="S567" s="56"/>
      <c r="T567" s="57"/>
    </row>
    <row r="568" spans="1:20" ht="13.5" customHeight="1" x14ac:dyDescent="0.2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5"/>
      <c r="P568" s="56"/>
      <c r="Q568" s="56"/>
      <c r="R568" s="56"/>
      <c r="S568" s="56"/>
      <c r="T568" s="57"/>
    </row>
    <row r="569" spans="1:20" ht="13.5" customHeight="1" x14ac:dyDescent="0.2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5"/>
      <c r="P569" s="56"/>
      <c r="Q569" s="56"/>
      <c r="R569" s="56"/>
      <c r="S569" s="56"/>
      <c r="T569" s="57"/>
    </row>
    <row r="570" spans="1:20" ht="13.5" customHeight="1" x14ac:dyDescent="0.2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5"/>
      <c r="P570" s="56"/>
      <c r="Q570" s="56"/>
      <c r="R570" s="56"/>
      <c r="S570" s="56"/>
      <c r="T570" s="57"/>
    </row>
    <row r="571" spans="1:20" ht="13.5" customHeight="1" x14ac:dyDescent="0.2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5"/>
      <c r="P571" s="56"/>
      <c r="Q571" s="56"/>
      <c r="R571" s="56"/>
      <c r="S571" s="56"/>
      <c r="T571" s="57"/>
    </row>
    <row r="572" spans="1:20" ht="13.5" customHeight="1" x14ac:dyDescent="0.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5"/>
      <c r="P572" s="56"/>
      <c r="Q572" s="56"/>
      <c r="R572" s="56"/>
      <c r="S572" s="56"/>
      <c r="T572" s="57"/>
    </row>
    <row r="573" spans="1:20" ht="13.5" customHeight="1" x14ac:dyDescent="0.2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5"/>
      <c r="P573" s="56"/>
      <c r="Q573" s="56"/>
      <c r="R573" s="56"/>
      <c r="S573" s="56"/>
      <c r="T573" s="57"/>
    </row>
    <row r="574" spans="1:20" ht="13.5" customHeight="1" x14ac:dyDescent="0.2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5"/>
      <c r="P574" s="56"/>
      <c r="Q574" s="56"/>
      <c r="R574" s="56"/>
      <c r="S574" s="56"/>
      <c r="T574" s="57"/>
    </row>
    <row r="575" spans="1:20" ht="13.5" customHeight="1" x14ac:dyDescent="0.2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5"/>
      <c r="P575" s="56"/>
      <c r="Q575" s="56"/>
      <c r="R575" s="56"/>
      <c r="S575" s="56"/>
      <c r="T575" s="57"/>
    </row>
    <row r="576" spans="1:20" ht="13.5" customHeight="1" x14ac:dyDescent="0.2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5"/>
      <c r="P576" s="56"/>
      <c r="Q576" s="56"/>
      <c r="R576" s="56"/>
      <c r="S576" s="56"/>
      <c r="T576" s="57"/>
    </row>
    <row r="577" spans="1:20" ht="13.5" customHeight="1" x14ac:dyDescent="0.2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5"/>
      <c r="P577" s="56"/>
      <c r="Q577" s="56"/>
      <c r="R577" s="56"/>
      <c r="S577" s="56"/>
      <c r="T577" s="57"/>
    </row>
    <row r="578" spans="1:20" ht="13.5" customHeight="1" x14ac:dyDescent="0.2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5"/>
      <c r="P578" s="56"/>
      <c r="Q578" s="56"/>
      <c r="R578" s="56"/>
      <c r="S578" s="56"/>
      <c r="T578" s="57"/>
    </row>
    <row r="579" spans="1:20" ht="13.5" customHeight="1" x14ac:dyDescent="0.2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5"/>
      <c r="P579" s="56"/>
      <c r="Q579" s="56"/>
      <c r="R579" s="56"/>
      <c r="S579" s="56"/>
      <c r="T579" s="57"/>
    </row>
    <row r="580" spans="1:20" ht="13.5" customHeight="1" x14ac:dyDescent="0.2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5"/>
      <c r="P580" s="56"/>
      <c r="Q580" s="56"/>
      <c r="R580" s="56"/>
      <c r="S580" s="56"/>
      <c r="T580" s="57"/>
    </row>
    <row r="581" spans="1:20" ht="13.5" customHeight="1" x14ac:dyDescent="0.2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5"/>
      <c r="P581" s="56"/>
      <c r="Q581" s="56"/>
      <c r="R581" s="56"/>
      <c r="S581" s="56"/>
      <c r="T581" s="57"/>
    </row>
    <row r="582" spans="1:20" ht="13.5" customHeight="1" x14ac:dyDescent="0.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5"/>
      <c r="P582" s="56"/>
      <c r="Q582" s="56"/>
      <c r="R582" s="56"/>
      <c r="S582" s="56"/>
      <c r="T582" s="57"/>
    </row>
    <row r="583" spans="1:20" ht="13.5" customHeight="1" x14ac:dyDescent="0.2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5"/>
      <c r="P583" s="56"/>
      <c r="Q583" s="56"/>
      <c r="R583" s="56"/>
      <c r="S583" s="56"/>
      <c r="T583" s="57"/>
    </row>
    <row r="584" spans="1:20" ht="13.5" customHeight="1" x14ac:dyDescent="0.2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5"/>
      <c r="P584" s="56"/>
      <c r="Q584" s="56"/>
      <c r="R584" s="56"/>
      <c r="S584" s="56"/>
      <c r="T584" s="57"/>
    </row>
    <row r="585" spans="1:20" ht="13.5" customHeight="1" x14ac:dyDescent="0.2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5"/>
      <c r="P585" s="56"/>
      <c r="Q585" s="56"/>
      <c r="R585" s="56"/>
      <c r="S585" s="56"/>
      <c r="T585" s="57"/>
    </row>
    <row r="586" spans="1:20" ht="13.5" customHeight="1" x14ac:dyDescent="0.2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6"/>
      <c r="P586" s="56"/>
      <c r="Q586" s="56"/>
      <c r="R586" s="56"/>
      <c r="S586" s="56"/>
      <c r="T586" s="57"/>
    </row>
    <row r="587" spans="1:20" ht="13.5" customHeight="1" x14ac:dyDescent="0.2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6"/>
      <c r="P587" s="56"/>
      <c r="Q587" s="56"/>
      <c r="R587" s="56"/>
      <c r="S587" s="56"/>
      <c r="T587" s="57"/>
    </row>
    <row r="588" spans="1:20" ht="13.5" customHeight="1" x14ac:dyDescent="0.2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6"/>
      <c r="P588" s="56"/>
      <c r="Q588" s="56"/>
      <c r="R588" s="56"/>
      <c r="S588" s="56"/>
      <c r="T588" s="57"/>
    </row>
    <row r="589" spans="1:20" ht="13.5" customHeight="1" x14ac:dyDescent="0.2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6"/>
      <c r="P589" s="56"/>
      <c r="Q589" s="56"/>
      <c r="R589" s="56"/>
      <c r="S589" s="56"/>
      <c r="T589" s="57"/>
    </row>
    <row r="590" spans="1:20" ht="13.5" customHeight="1" x14ac:dyDescent="0.2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6"/>
      <c r="P590" s="56"/>
      <c r="Q590" s="56"/>
      <c r="R590" s="56"/>
      <c r="S590" s="56"/>
      <c r="T590" s="57"/>
    </row>
    <row r="591" spans="1:20" ht="13.5" customHeight="1" x14ac:dyDescent="0.2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6"/>
      <c r="P591" s="56"/>
      <c r="Q591" s="56"/>
      <c r="R591" s="56"/>
      <c r="S591" s="56"/>
      <c r="T591" s="57"/>
    </row>
    <row r="592" spans="1:20" ht="13.5" customHeight="1" x14ac:dyDescent="0.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6"/>
      <c r="P592" s="56"/>
      <c r="Q592" s="56"/>
      <c r="R592" s="56"/>
      <c r="S592" s="56"/>
      <c r="T592" s="57"/>
    </row>
    <row r="593" spans="1:20" ht="13.5" customHeight="1" x14ac:dyDescent="0.2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6"/>
      <c r="P593" s="56"/>
      <c r="Q593" s="56"/>
      <c r="R593" s="56"/>
      <c r="S593" s="56"/>
      <c r="T593" s="57"/>
    </row>
    <row r="594" spans="1:20" ht="13.5" customHeight="1" x14ac:dyDescent="0.2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6"/>
      <c r="P594" s="56"/>
      <c r="Q594" s="56"/>
      <c r="R594" s="56"/>
      <c r="S594" s="56"/>
      <c r="T594" s="57"/>
    </row>
    <row r="595" spans="1:20" ht="13.5" customHeight="1" x14ac:dyDescent="0.2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6"/>
      <c r="P595" s="56"/>
      <c r="Q595" s="56"/>
      <c r="R595" s="56"/>
      <c r="S595" s="56"/>
      <c r="T595" s="57"/>
    </row>
    <row r="596" spans="1:20" ht="13.5" customHeight="1" x14ac:dyDescent="0.2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6"/>
      <c r="P596" s="56"/>
      <c r="Q596" s="56"/>
      <c r="R596" s="56"/>
      <c r="S596" s="56"/>
      <c r="T596" s="57"/>
    </row>
    <row r="597" spans="1:20" ht="13.5" customHeight="1" x14ac:dyDescent="0.2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6"/>
      <c r="P597" s="56"/>
      <c r="Q597" s="56"/>
      <c r="R597" s="56"/>
      <c r="S597" s="56"/>
      <c r="T597" s="57"/>
    </row>
    <row r="598" spans="1:20" ht="13.5" customHeight="1" x14ac:dyDescent="0.2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6"/>
      <c r="P598" s="56"/>
      <c r="Q598" s="56"/>
      <c r="R598" s="56"/>
      <c r="S598" s="56"/>
      <c r="T598" s="57"/>
    </row>
    <row r="599" spans="1:20" ht="13.5" customHeight="1" x14ac:dyDescent="0.2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6"/>
      <c r="P599" s="56"/>
      <c r="Q599" s="56"/>
      <c r="R599" s="56"/>
      <c r="S599" s="56"/>
      <c r="T599" s="57"/>
    </row>
    <row r="600" spans="1:20" ht="13.5" customHeight="1" x14ac:dyDescent="0.2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6"/>
      <c r="P600" s="56"/>
      <c r="Q600" s="56"/>
      <c r="R600" s="56"/>
      <c r="S600" s="56"/>
      <c r="T600" s="57"/>
    </row>
    <row r="601" spans="1:20" ht="13.5" customHeight="1" x14ac:dyDescent="0.2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6"/>
      <c r="P601" s="56"/>
      <c r="Q601" s="56"/>
      <c r="R601" s="56"/>
      <c r="S601" s="56"/>
      <c r="T601" s="57"/>
    </row>
    <row r="602" spans="1:20" ht="13.5" customHeight="1" x14ac:dyDescent="0.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6"/>
      <c r="P602" s="56"/>
      <c r="Q602" s="56"/>
      <c r="R602" s="56"/>
      <c r="S602" s="56"/>
      <c r="T602" s="57"/>
    </row>
    <row r="603" spans="1:20" ht="13.5" customHeight="1" x14ac:dyDescent="0.2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6"/>
      <c r="P603" s="56"/>
      <c r="Q603" s="56"/>
      <c r="R603" s="56"/>
      <c r="S603" s="56"/>
      <c r="T603" s="57"/>
    </row>
    <row r="604" spans="1:20" ht="13.5" customHeight="1" x14ac:dyDescent="0.2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6"/>
      <c r="P604" s="56"/>
      <c r="Q604" s="56"/>
      <c r="R604" s="56"/>
      <c r="S604" s="56"/>
      <c r="T604" s="57"/>
    </row>
    <row r="605" spans="1:20" ht="13.5" customHeight="1" x14ac:dyDescent="0.2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6"/>
      <c r="P605" s="56"/>
      <c r="Q605" s="56"/>
      <c r="R605" s="56"/>
      <c r="S605" s="56"/>
      <c r="T605" s="57"/>
    </row>
    <row r="606" spans="1:20" ht="13.5" customHeight="1" x14ac:dyDescent="0.2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6"/>
      <c r="P606" s="56"/>
      <c r="Q606" s="56"/>
      <c r="R606" s="56"/>
      <c r="S606" s="56"/>
      <c r="T606" s="57"/>
    </row>
    <row r="607" spans="1:20" ht="13.5" customHeight="1" x14ac:dyDescent="0.2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45"/>
      <c r="P607" s="45"/>
      <c r="Q607" s="45"/>
      <c r="R607" s="45"/>
      <c r="S607" s="45"/>
      <c r="T607" s="42"/>
    </row>
    <row r="608" spans="1:20" ht="13.5" customHeight="1" x14ac:dyDescent="0.2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45"/>
      <c r="P608" s="45"/>
      <c r="Q608" s="45"/>
      <c r="R608" s="45"/>
      <c r="S608" s="45"/>
      <c r="T608" s="42"/>
    </row>
    <row r="609" spans="1:20" ht="13.5" customHeight="1" x14ac:dyDescent="0.2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45"/>
      <c r="P609" s="45"/>
      <c r="Q609" s="45"/>
      <c r="R609" s="45"/>
      <c r="S609" s="45"/>
      <c r="T609" s="42"/>
    </row>
    <row r="610" spans="1:20" ht="13.5" customHeight="1" x14ac:dyDescent="0.2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45"/>
      <c r="P610" s="45"/>
      <c r="Q610" s="45"/>
      <c r="R610" s="45"/>
      <c r="S610" s="45"/>
      <c r="T610" s="42"/>
    </row>
    <row r="611" spans="1:20" ht="13.5" customHeight="1" x14ac:dyDescent="0.2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45"/>
      <c r="P611" s="45"/>
      <c r="Q611" s="45"/>
      <c r="R611" s="45"/>
      <c r="S611" s="45"/>
      <c r="T611" s="42"/>
    </row>
    <row r="612" spans="1:20" ht="13.5" customHeight="1" x14ac:dyDescent="0.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45"/>
      <c r="P612" s="45"/>
      <c r="Q612" s="45"/>
      <c r="R612" s="45"/>
      <c r="S612" s="45"/>
      <c r="T612" s="42"/>
    </row>
    <row r="613" spans="1:20" ht="13.5" customHeight="1" x14ac:dyDescent="0.2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45"/>
      <c r="P613" s="45"/>
      <c r="Q613" s="45"/>
      <c r="R613" s="45"/>
      <c r="S613" s="45"/>
      <c r="T613" s="42"/>
    </row>
    <row r="614" spans="1:20" ht="13.5" customHeight="1" x14ac:dyDescent="0.2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45"/>
      <c r="P614" s="45"/>
      <c r="Q614" s="45"/>
      <c r="R614" s="45"/>
      <c r="S614" s="45"/>
      <c r="T614" s="42"/>
    </row>
    <row r="615" spans="1:20" ht="13.5" customHeight="1" x14ac:dyDescent="0.2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45"/>
      <c r="P615" s="45"/>
      <c r="Q615" s="45"/>
      <c r="R615" s="45"/>
      <c r="S615" s="45"/>
      <c r="T615" s="42"/>
    </row>
    <row r="616" spans="1:20" ht="13.5" customHeight="1" x14ac:dyDescent="0.2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45"/>
      <c r="P616" s="45"/>
      <c r="Q616" s="45"/>
      <c r="R616" s="45"/>
      <c r="S616" s="45"/>
      <c r="T616" s="42"/>
    </row>
    <row r="617" spans="1:20" ht="13.5" customHeight="1" x14ac:dyDescent="0.2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45"/>
      <c r="P617" s="45"/>
      <c r="Q617" s="45"/>
      <c r="R617" s="45"/>
      <c r="S617" s="45"/>
      <c r="T617" s="42"/>
    </row>
    <row r="618" spans="1:20" ht="13.5" customHeight="1" x14ac:dyDescent="0.2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45"/>
      <c r="P618" s="45"/>
      <c r="Q618" s="45"/>
      <c r="R618" s="45"/>
      <c r="S618" s="45"/>
      <c r="T618" s="42"/>
    </row>
    <row r="619" spans="1:20" ht="13.5" customHeight="1" x14ac:dyDescent="0.2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45"/>
      <c r="P619" s="45"/>
      <c r="Q619" s="45"/>
      <c r="R619" s="45"/>
      <c r="S619" s="45"/>
      <c r="T619" s="42"/>
    </row>
    <row r="620" spans="1:20" ht="13.5" customHeight="1" x14ac:dyDescent="0.2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45"/>
      <c r="P620" s="45"/>
      <c r="Q620" s="45"/>
      <c r="R620" s="45"/>
      <c r="S620" s="45"/>
      <c r="T620" s="42"/>
    </row>
    <row r="621" spans="1:20" ht="13.5" customHeight="1" x14ac:dyDescent="0.2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45"/>
      <c r="P621" s="45"/>
      <c r="Q621" s="45"/>
      <c r="R621" s="45"/>
      <c r="S621" s="45"/>
      <c r="T621" s="42"/>
    </row>
    <row r="622" spans="1:20" ht="13.5" customHeight="1" x14ac:dyDescent="0.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45"/>
      <c r="P622" s="45"/>
      <c r="Q622" s="45"/>
      <c r="R622" s="45"/>
      <c r="S622" s="45"/>
      <c r="T622" s="42"/>
    </row>
    <row r="623" spans="1:20" ht="13.5" customHeight="1" x14ac:dyDescent="0.2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45"/>
      <c r="P623" s="45"/>
      <c r="Q623" s="45"/>
      <c r="R623" s="45"/>
      <c r="S623" s="45"/>
      <c r="T623" s="42"/>
    </row>
    <row r="624" spans="1:20" ht="13.5" customHeight="1" x14ac:dyDescent="0.2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45"/>
      <c r="P624" s="45"/>
      <c r="Q624" s="45"/>
      <c r="R624" s="45"/>
      <c r="S624" s="45"/>
      <c r="T624" s="42"/>
    </row>
    <row r="625" spans="1:20" ht="13.5" customHeight="1" x14ac:dyDescent="0.2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45"/>
      <c r="P625" s="45"/>
      <c r="Q625" s="45"/>
      <c r="R625" s="45"/>
      <c r="S625" s="45"/>
      <c r="T625" s="42"/>
    </row>
    <row r="626" spans="1:20" ht="13.5" customHeight="1" x14ac:dyDescent="0.2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45"/>
      <c r="P626" s="45"/>
      <c r="Q626" s="45"/>
      <c r="R626" s="45"/>
      <c r="S626" s="45"/>
      <c r="T626" s="42"/>
    </row>
    <row r="627" spans="1:20" ht="13.5" customHeight="1" x14ac:dyDescent="0.2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45"/>
      <c r="P627" s="45"/>
      <c r="Q627" s="45"/>
      <c r="R627" s="45"/>
      <c r="S627" s="45"/>
      <c r="T627" s="42"/>
    </row>
    <row r="628" spans="1:20" ht="13.5" customHeight="1" x14ac:dyDescent="0.2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45"/>
      <c r="P628" s="45"/>
      <c r="Q628" s="45"/>
      <c r="R628" s="45"/>
      <c r="S628" s="45"/>
      <c r="T628" s="42"/>
    </row>
    <row r="629" spans="1:20" ht="13.5" customHeight="1" x14ac:dyDescent="0.2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45"/>
      <c r="P629" s="45"/>
      <c r="Q629" s="45"/>
      <c r="R629" s="45"/>
      <c r="S629" s="45"/>
      <c r="T629" s="42"/>
    </row>
    <row r="630" spans="1:20" ht="13.5" customHeight="1" x14ac:dyDescent="0.2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45"/>
      <c r="P630" s="45"/>
      <c r="Q630" s="45"/>
      <c r="R630" s="45"/>
      <c r="S630" s="45"/>
      <c r="T630" s="42"/>
    </row>
    <row r="631" spans="1:20" ht="13.5" customHeight="1" x14ac:dyDescent="0.2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45"/>
      <c r="P631" s="45"/>
      <c r="Q631" s="45"/>
      <c r="R631" s="45"/>
      <c r="S631" s="45"/>
      <c r="T631" s="42"/>
    </row>
    <row r="632" spans="1:20" ht="13.5" customHeight="1" x14ac:dyDescent="0.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45"/>
      <c r="P632" s="45"/>
      <c r="Q632" s="45"/>
      <c r="R632" s="45"/>
      <c r="S632" s="45"/>
      <c r="T632" s="42"/>
    </row>
  </sheetData>
  <autoFilter ref="A1:T509" xr:uid="{00000000-0009-0000-0000-000002000000}"/>
  <mergeCells count="2">
    <mergeCell ref="J3:L3"/>
    <mergeCell ref="J4:L4"/>
  </mergeCells>
  <pageMargins left="0.25" right="0.25" top="0.75" bottom="0.75" header="0" footer="0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57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390625" defaultRowHeight="15" customHeight="1" x14ac:dyDescent="0.2"/>
  <cols>
    <col min="1" max="1" width="18.83203125" customWidth="1"/>
    <col min="2" max="2" width="15.33203125" customWidth="1"/>
    <col min="3" max="3" width="15.6015625" customWidth="1"/>
    <col min="4" max="4" width="16.54296875" customWidth="1"/>
    <col min="5" max="5" width="9.14453125" customWidth="1"/>
    <col min="6" max="7" width="11.02734375" customWidth="1"/>
    <col min="8" max="8" width="16.27734375" customWidth="1"/>
    <col min="9" max="9" width="8.7421875" customWidth="1"/>
    <col min="10" max="10" width="9.14453125" customWidth="1"/>
    <col min="11" max="11" width="8.7421875" customWidth="1"/>
    <col min="12" max="12" width="12.5078125" customWidth="1"/>
    <col min="13" max="13" width="8.7421875" customWidth="1"/>
    <col min="14" max="15" width="8.7421875" hidden="1" customWidth="1"/>
    <col min="16" max="24" width="8.7421875" customWidth="1"/>
  </cols>
  <sheetData>
    <row r="1" spans="1:16" ht="14.25" customHeight="1" x14ac:dyDescent="0.2">
      <c r="A1" s="193" t="s">
        <v>654</v>
      </c>
      <c r="B1" s="192" t="s">
        <v>655</v>
      </c>
      <c r="C1" s="187"/>
      <c r="D1" s="187"/>
      <c r="E1" s="187"/>
      <c r="F1" s="188"/>
      <c r="G1" s="192" t="s">
        <v>656</v>
      </c>
      <c r="H1" s="187"/>
      <c r="I1" s="187"/>
      <c r="J1" s="187"/>
      <c r="K1" s="188"/>
      <c r="M1" s="60"/>
      <c r="P1" s="61"/>
    </row>
    <row r="2" spans="1:16" ht="14.25" customHeight="1" x14ac:dyDescent="0.2">
      <c r="A2" s="194"/>
      <c r="B2" s="62" t="s">
        <v>18</v>
      </c>
      <c r="C2" s="63" t="s">
        <v>25</v>
      </c>
      <c r="D2" s="63" t="s">
        <v>41</v>
      </c>
      <c r="E2" s="63" t="s">
        <v>50</v>
      </c>
      <c r="F2" s="64" t="s">
        <v>42</v>
      </c>
      <c r="G2" s="62" t="s">
        <v>18</v>
      </c>
      <c r="H2" s="63" t="s">
        <v>25</v>
      </c>
      <c r="I2" s="63" t="s">
        <v>41</v>
      </c>
      <c r="J2" s="63" t="s">
        <v>50</v>
      </c>
      <c r="K2" s="64" t="s">
        <v>42</v>
      </c>
      <c r="L2" s="65"/>
      <c r="M2" s="60"/>
      <c r="N2" s="66" t="s">
        <v>18</v>
      </c>
      <c r="O2" s="66">
        <v>32</v>
      </c>
      <c r="P2" s="61"/>
    </row>
    <row r="3" spans="1:16" ht="14.25" customHeight="1" x14ac:dyDescent="0.2">
      <c r="A3" s="67" t="s">
        <v>657</v>
      </c>
      <c r="B3" s="68">
        <v>0</v>
      </c>
      <c r="C3" s="38">
        <v>0</v>
      </c>
      <c r="D3" s="38">
        <v>0</v>
      </c>
      <c r="E3" s="38">
        <v>0</v>
      </c>
      <c r="F3" s="69">
        <v>0</v>
      </c>
      <c r="G3" s="70">
        <v>0</v>
      </c>
      <c r="H3" s="71">
        <v>0</v>
      </c>
      <c r="I3" s="71">
        <v>0</v>
      </c>
      <c r="J3" s="71">
        <v>0</v>
      </c>
      <c r="K3" s="72">
        <v>0</v>
      </c>
      <c r="L3" s="73"/>
      <c r="M3" s="74"/>
      <c r="N3" s="66" t="s">
        <v>25</v>
      </c>
      <c r="O3" s="66">
        <v>33</v>
      </c>
      <c r="P3" s="75"/>
    </row>
    <row r="4" spans="1:16" ht="14.25" customHeight="1" x14ac:dyDescent="0.2">
      <c r="A4" s="76">
        <v>39241000</v>
      </c>
      <c r="B4" s="68">
        <v>0.25259999999999999</v>
      </c>
      <c r="C4" s="38">
        <v>0.36730000000000002</v>
      </c>
      <c r="D4" s="38">
        <v>0.38169999999999998</v>
      </c>
      <c r="E4" s="38">
        <v>0</v>
      </c>
      <c r="F4" s="69">
        <v>0.3231</v>
      </c>
      <c r="G4" s="70">
        <v>0.17810000000000001</v>
      </c>
      <c r="H4" s="71">
        <v>0.25840000000000002</v>
      </c>
      <c r="I4" s="71">
        <v>0.27239999999999998</v>
      </c>
      <c r="J4" s="71">
        <v>0</v>
      </c>
      <c r="K4" s="72">
        <v>0.21790000000000001</v>
      </c>
      <c r="L4" s="73"/>
      <c r="M4" s="74"/>
      <c r="N4" s="66" t="s">
        <v>41</v>
      </c>
      <c r="O4" s="66">
        <v>34</v>
      </c>
      <c r="P4" s="75"/>
    </row>
    <row r="5" spans="1:16" ht="14.25" customHeight="1" x14ac:dyDescent="0.2">
      <c r="A5" s="67">
        <v>39249000</v>
      </c>
      <c r="B5" s="68">
        <v>0</v>
      </c>
      <c r="C5" s="38">
        <v>0</v>
      </c>
      <c r="D5" s="38">
        <v>0</v>
      </c>
      <c r="E5" s="38">
        <v>0</v>
      </c>
      <c r="F5" s="69">
        <v>0</v>
      </c>
      <c r="G5" s="70">
        <v>0</v>
      </c>
      <c r="H5" s="71">
        <v>0</v>
      </c>
      <c r="I5" s="71">
        <v>0</v>
      </c>
      <c r="J5" s="71">
        <v>0</v>
      </c>
      <c r="K5" s="72">
        <v>0</v>
      </c>
      <c r="L5" s="73"/>
      <c r="M5" s="74"/>
      <c r="N5" s="66" t="s">
        <v>50</v>
      </c>
      <c r="O5" s="66">
        <v>35</v>
      </c>
      <c r="P5" s="75"/>
    </row>
    <row r="6" spans="1:16" ht="14.25" customHeight="1" x14ac:dyDescent="0.2">
      <c r="A6" s="76">
        <v>39269090</v>
      </c>
      <c r="B6" s="68">
        <v>0</v>
      </c>
      <c r="C6" s="38">
        <v>0</v>
      </c>
      <c r="D6" s="38">
        <v>0</v>
      </c>
      <c r="E6" s="38">
        <v>0</v>
      </c>
      <c r="F6" s="69">
        <v>0</v>
      </c>
      <c r="G6" s="70">
        <v>0</v>
      </c>
      <c r="H6" s="71">
        <v>0</v>
      </c>
      <c r="I6" s="71">
        <v>0</v>
      </c>
      <c r="J6" s="71">
        <v>0</v>
      </c>
      <c r="K6" s="72">
        <v>0</v>
      </c>
      <c r="L6" s="73"/>
      <c r="M6" s="74"/>
      <c r="N6" s="66" t="s">
        <v>42</v>
      </c>
      <c r="O6" s="66">
        <v>36</v>
      </c>
      <c r="P6" s="75"/>
    </row>
    <row r="7" spans="1:16" ht="14.25" customHeight="1" x14ac:dyDescent="0.2">
      <c r="A7" s="67">
        <v>39232910</v>
      </c>
      <c r="B7" s="68">
        <v>0</v>
      </c>
      <c r="C7" s="38">
        <v>0</v>
      </c>
      <c r="D7" s="38">
        <v>0</v>
      </c>
      <c r="E7" s="38">
        <v>0</v>
      </c>
      <c r="F7" s="69">
        <v>0</v>
      </c>
      <c r="G7" s="70">
        <v>0</v>
      </c>
      <c r="H7" s="71">
        <v>0</v>
      </c>
      <c r="I7" s="71">
        <v>0</v>
      </c>
      <c r="J7" s="71">
        <v>0</v>
      </c>
      <c r="K7" s="72">
        <v>0</v>
      </c>
      <c r="L7" s="73"/>
      <c r="M7" s="74"/>
      <c r="N7" s="66"/>
      <c r="O7" s="66"/>
      <c r="P7" s="75"/>
    </row>
    <row r="8" spans="1:16" ht="14.25" customHeight="1" x14ac:dyDescent="0.2">
      <c r="A8" s="76">
        <v>42010090</v>
      </c>
      <c r="B8" s="68">
        <v>0</v>
      </c>
      <c r="C8" s="38">
        <v>0</v>
      </c>
      <c r="D8" s="38">
        <v>0</v>
      </c>
      <c r="E8" s="38">
        <v>0</v>
      </c>
      <c r="F8" s="69">
        <v>0</v>
      </c>
      <c r="G8" s="70">
        <v>0</v>
      </c>
      <c r="H8" s="71">
        <v>0</v>
      </c>
      <c r="I8" s="71">
        <v>0</v>
      </c>
      <c r="J8" s="71">
        <v>0</v>
      </c>
      <c r="K8" s="72">
        <v>0</v>
      </c>
      <c r="L8" s="73"/>
      <c r="M8" s="74"/>
      <c r="N8" s="74"/>
      <c r="O8" s="77"/>
      <c r="P8" s="75"/>
    </row>
    <row r="9" spans="1:16" ht="14.25" customHeight="1" x14ac:dyDescent="0.2">
      <c r="A9" s="67">
        <v>42022220</v>
      </c>
      <c r="B9" s="68">
        <v>0</v>
      </c>
      <c r="C9" s="38">
        <v>0</v>
      </c>
      <c r="D9" s="38">
        <v>0</v>
      </c>
      <c r="E9" s="38">
        <v>0</v>
      </c>
      <c r="F9" s="69">
        <v>0</v>
      </c>
      <c r="G9" s="70">
        <v>0</v>
      </c>
      <c r="H9" s="71">
        <v>0</v>
      </c>
      <c r="I9" s="71">
        <v>0</v>
      </c>
      <c r="J9" s="71">
        <v>0</v>
      </c>
      <c r="K9" s="72">
        <v>0</v>
      </c>
      <c r="L9" s="73"/>
      <c r="M9" s="74"/>
      <c r="N9" s="74"/>
      <c r="O9" s="77"/>
      <c r="P9" s="75"/>
    </row>
    <row r="10" spans="1:16" ht="14.25" customHeight="1" x14ac:dyDescent="0.2">
      <c r="A10" s="76">
        <v>42022900</v>
      </c>
      <c r="B10" s="68">
        <v>0</v>
      </c>
      <c r="C10" s="38">
        <v>0</v>
      </c>
      <c r="D10" s="38">
        <v>0</v>
      </c>
      <c r="E10" s="38">
        <v>0</v>
      </c>
      <c r="F10" s="69">
        <v>0</v>
      </c>
      <c r="G10" s="70">
        <v>0</v>
      </c>
      <c r="H10" s="71">
        <v>0</v>
      </c>
      <c r="I10" s="71">
        <v>0</v>
      </c>
      <c r="J10" s="71">
        <v>0</v>
      </c>
      <c r="K10" s="72">
        <v>0</v>
      </c>
      <c r="L10" s="73"/>
      <c r="M10" s="74"/>
      <c r="N10" s="74"/>
      <c r="O10" s="77"/>
      <c r="P10" s="75"/>
    </row>
    <row r="11" spans="1:16" ht="14.25" customHeight="1" x14ac:dyDescent="0.2">
      <c r="A11" s="67">
        <v>44191900</v>
      </c>
      <c r="B11" s="68">
        <v>0</v>
      </c>
      <c r="C11" s="38">
        <v>0</v>
      </c>
      <c r="D11" s="38">
        <v>0</v>
      </c>
      <c r="E11" s="38">
        <v>0</v>
      </c>
      <c r="F11" s="69">
        <v>0</v>
      </c>
      <c r="G11" s="70">
        <v>0</v>
      </c>
      <c r="H11" s="71">
        <v>0</v>
      </c>
      <c r="I11" s="71">
        <v>0</v>
      </c>
      <c r="J11" s="71">
        <v>0</v>
      </c>
      <c r="K11" s="72">
        <v>0</v>
      </c>
      <c r="L11" s="73"/>
      <c r="M11" s="74"/>
      <c r="N11" s="74"/>
      <c r="O11" s="77"/>
      <c r="P11" s="75"/>
    </row>
    <row r="12" spans="1:16" ht="14.25" customHeight="1" x14ac:dyDescent="0.2">
      <c r="A12" s="76">
        <v>44191100</v>
      </c>
      <c r="B12" s="68">
        <v>0</v>
      </c>
      <c r="C12" s="38">
        <v>0</v>
      </c>
      <c r="D12" s="38">
        <v>0</v>
      </c>
      <c r="E12" s="38">
        <v>0</v>
      </c>
      <c r="F12" s="69">
        <v>0</v>
      </c>
      <c r="G12" s="70">
        <v>0</v>
      </c>
      <c r="H12" s="71">
        <v>0</v>
      </c>
      <c r="I12" s="71">
        <v>0</v>
      </c>
      <c r="J12" s="71">
        <v>0</v>
      </c>
      <c r="K12" s="72">
        <v>0</v>
      </c>
      <c r="L12" s="73"/>
    </row>
    <row r="13" spans="1:16" ht="14.25" customHeight="1" x14ac:dyDescent="0.2">
      <c r="A13" s="67">
        <v>48191000</v>
      </c>
      <c r="B13" s="68">
        <v>0</v>
      </c>
      <c r="C13" s="38">
        <v>0</v>
      </c>
      <c r="D13" s="38">
        <v>0</v>
      </c>
      <c r="E13" s="38">
        <v>0</v>
      </c>
      <c r="F13" s="69">
        <v>0</v>
      </c>
      <c r="G13" s="70">
        <v>0</v>
      </c>
      <c r="H13" s="71">
        <v>0</v>
      </c>
      <c r="I13" s="71">
        <v>0</v>
      </c>
      <c r="J13" s="71">
        <v>0</v>
      </c>
      <c r="K13" s="72">
        <v>0</v>
      </c>
      <c r="L13" s="73"/>
    </row>
    <row r="14" spans="1:16" ht="14.25" customHeight="1" x14ac:dyDescent="0.2">
      <c r="A14" s="76">
        <v>57023200</v>
      </c>
      <c r="B14" s="68">
        <v>0</v>
      </c>
      <c r="C14" s="38">
        <v>0</v>
      </c>
      <c r="D14" s="38">
        <v>0</v>
      </c>
      <c r="E14" s="38">
        <v>0</v>
      </c>
      <c r="F14" s="69">
        <v>0</v>
      </c>
      <c r="G14" s="70">
        <v>0</v>
      </c>
      <c r="H14" s="71">
        <v>0</v>
      </c>
      <c r="I14" s="71">
        <v>0</v>
      </c>
      <c r="J14" s="71">
        <v>0</v>
      </c>
      <c r="K14" s="72">
        <v>0</v>
      </c>
      <c r="L14" s="73"/>
    </row>
    <row r="15" spans="1:16" ht="14.25" customHeight="1" x14ac:dyDescent="0.2">
      <c r="A15" s="67">
        <v>61169300</v>
      </c>
      <c r="B15" s="68">
        <v>0</v>
      </c>
      <c r="C15" s="38">
        <v>0</v>
      </c>
      <c r="D15" s="38">
        <v>0</v>
      </c>
      <c r="E15" s="38">
        <v>0</v>
      </c>
      <c r="F15" s="69">
        <v>0</v>
      </c>
      <c r="G15" s="70">
        <v>0</v>
      </c>
      <c r="H15" s="71">
        <v>0</v>
      </c>
      <c r="I15" s="71">
        <v>0</v>
      </c>
      <c r="J15" s="71">
        <v>0</v>
      </c>
      <c r="K15" s="72">
        <v>0</v>
      </c>
      <c r="L15" s="73"/>
    </row>
    <row r="16" spans="1:16" ht="14.25" customHeight="1" x14ac:dyDescent="0.2">
      <c r="A16" s="76">
        <v>63079090</v>
      </c>
      <c r="B16" s="68">
        <v>0</v>
      </c>
      <c r="C16" s="38">
        <v>0</v>
      </c>
      <c r="D16" s="38">
        <v>0</v>
      </c>
      <c r="E16" s="38">
        <v>0</v>
      </c>
      <c r="F16" s="69">
        <v>0</v>
      </c>
      <c r="G16" s="70">
        <v>0</v>
      </c>
      <c r="H16" s="71">
        <v>0</v>
      </c>
      <c r="I16" s="71">
        <v>0</v>
      </c>
      <c r="J16" s="71">
        <v>0</v>
      </c>
      <c r="K16" s="72">
        <v>0</v>
      </c>
      <c r="L16" s="73"/>
    </row>
    <row r="17" spans="1:12" ht="14.25" customHeight="1" x14ac:dyDescent="0.2">
      <c r="A17" s="67">
        <v>70109012</v>
      </c>
      <c r="B17" s="68">
        <v>0</v>
      </c>
      <c r="C17" s="38">
        <v>0</v>
      </c>
      <c r="D17" s="38">
        <v>0</v>
      </c>
      <c r="E17" s="38">
        <v>0</v>
      </c>
      <c r="F17" s="69">
        <v>0</v>
      </c>
      <c r="G17" s="70">
        <v>0</v>
      </c>
      <c r="H17" s="71">
        <v>0</v>
      </c>
      <c r="I17" s="71">
        <v>0</v>
      </c>
      <c r="J17" s="71">
        <v>0</v>
      </c>
      <c r="K17" s="72">
        <v>0</v>
      </c>
      <c r="L17" s="73"/>
    </row>
    <row r="18" spans="1:12" ht="14.25" customHeight="1" x14ac:dyDescent="0.2">
      <c r="A18" s="76">
        <v>70133700</v>
      </c>
      <c r="B18" s="68">
        <v>0.32229999999999998</v>
      </c>
      <c r="C18" s="38">
        <v>0.33019999999999999</v>
      </c>
      <c r="D18" s="38">
        <v>0.35189999999999999</v>
      </c>
      <c r="E18" s="38">
        <v>0</v>
      </c>
      <c r="F18" s="69">
        <v>0.27729999999999999</v>
      </c>
      <c r="G18" s="70">
        <v>0</v>
      </c>
      <c r="H18" s="71">
        <v>0</v>
      </c>
      <c r="I18" s="71">
        <v>0</v>
      </c>
      <c r="J18" s="71">
        <v>0</v>
      </c>
      <c r="K18" s="72">
        <v>0</v>
      </c>
      <c r="L18" s="73"/>
    </row>
    <row r="19" spans="1:12" ht="14.25" customHeight="1" x14ac:dyDescent="0.2">
      <c r="A19" s="67">
        <v>70134290</v>
      </c>
      <c r="B19" s="68">
        <v>0.32100000000000001</v>
      </c>
      <c r="C19" s="38">
        <v>0.42749999999999999</v>
      </c>
      <c r="D19" s="38">
        <v>0.41930000000000001</v>
      </c>
      <c r="E19" s="38">
        <v>0</v>
      </c>
      <c r="F19" s="69">
        <v>0.33260000000000001</v>
      </c>
      <c r="G19" s="70">
        <v>0</v>
      </c>
      <c r="H19" s="71">
        <v>0</v>
      </c>
      <c r="I19" s="71">
        <v>0</v>
      </c>
      <c r="J19" s="71">
        <v>0</v>
      </c>
      <c r="K19" s="72">
        <v>0</v>
      </c>
      <c r="L19" s="73"/>
    </row>
    <row r="20" spans="1:12" ht="14.25" customHeight="1" x14ac:dyDescent="0.2">
      <c r="A20" s="76">
        <v>70134900</v>
      </c>
      <c r="B20" s="68">
        <v>0.32100000000000001</v>
      </c>
      <c r="C20" s="38">
        <v>0.34399999999999997</v>
      </c>
      <c r="D20" s="38">
        <v>0.37319999999999998</v>
      </c>
      <c r="E20" s="38">
        <v>0</v>
      </c>
      <c r="F20" s="69">
        <v>0.32229999999999998</v>
      </c>
      <c r="G20" s="70">
        <v>0</v>
      </c>
      <c r="H20" s="71">
        <v>0</v>
      </c>
      <c r="I20" s="71">
        <v>0</v>
      </c>
      <c r="J20" s="71">
        <v>0</v>
      </c>
      <c r="K20" s="72">
        <v>0</v>
      </c>
      <c r="L20" s="73"/>
    </row>
    <row r="21" spans="1:12" ht="14.25" customHeight="1" x14ac:dyDescent="0.2">
      <c r="A21" s="67">
        <v>73090090</v>
      </c>
      <c r="B21" s="68">
        <v>0</v>
      </c>
      <c r="C21" s="38">
        <v>0</v>
      </c>
      <c r="D21" s="38">
        <v>0</v>
      </c>
      <c r="E21" s="38">
        <v>0</v>
      </c>
      <c r="F21" s="69">
        <v>0</v>
      </c>
      <c r="G21" s="70">
        <v>0</v>
      </c>
      <c r="H21" s="71">
        <v>0</v>
      </c>
      <c r="I21" s="71">
        <v>0</v>
      </c>
      <c r="J21" s="71">
        <v>0</v>
      </c>
      <c r="K21" s="72">
        <v>0</v>
      </c>
      <c r="L21" s="73"/>
    </row>
    <row r="22" spans="1:12" ht="14.25" customHeight="1" x14ac:dyDescent="0.2">
      <c r="A22" s="76">
        <v>73239300</v>
      </c>
      <c r="B22" s="68">
        <v>0</v>
      </c>
      <c r="C22" s="38">
        <v>0</v>
      </c>
      <c r="D22" s="38">
        <v>0</v>
      </c>
      <c r="E22" s="38">
        <v>0</v>
      </c>
      <c r="F22" s="69">
        <v>0</v>
      </c>
      <c r="G22" s="70">
        <v>0</v>
      </c>
      <c r="H22" s="71">
        <v>0</v>
      </c>
      <c r="I22" s="71">
        <v>0</v>
      </c>
      <c r="J22" s="71">
        <v>0</v>
      </c>
      <c r="K22" s="72">
        <v>0</v>
      </c>
      <c r="L22" s="73"/>
    </row>
    <row r="23" spans="1:12" ht="14.25" customHeight="1" x14ac:dyDescent="0.2">
      <c r="A23" s="67">
        <v>82159910</v>
      </c>
      <c r="B23" s="68">
        <v>0</v>
      </c>
      <c r="C23" s="38">
        <v>0</v>
      </c>
      <c r="D23" s="38">
        <v>0</v>
      </c>
      <c r="E23" s="38">
        <v>0</v>
      </c>
      <c r="F23" s="69">
        <v>0</v>
      </c>
      <c r="G23" s="70">
        <v>0</v>
      </c>
      <c r="H23" s="71">
        <v>0</v>
      </c>
      <c r="I23" s="71">
        <v>0</v>
      </c>
      <c r="J23" s="71">
        <v>0</v>
      </c>
      <c r="K23" s="72">
        <v>0</v>
      </c>
      <c r="L23" s="73"/>
    </row>
    <row r="24" spans="1:12" ht="14.25" customHeight="1" x14ac:dyDescent="0.2">
      <c r="A24" s="76">
        <v>84798210</v>
      </c>
      <c r="B24" s="68">
        <v>0</v>
      </c>
      <c r="C24" s="38">
        <v>0</v>
      </c>
      <c r="D24" s="38">
        <v>0</v>
      </c>
      <c r="E24" s="38">
        <v>0</v>
      </c>
      <c r="F24" s="69">
        <v>0</v>
      </c>
      <c r="G24" s="70">
        <v>0</v>
      </c>
      <c r="H24" s="71">
        <v>0</v>
      </c>
      <c r="I24" s="71">
        <v>0</v>
      </c>
      <c r="J24" s="71">
        <v>0</v>
      </c>
      <c r="K24" s="72">
        <v>0</v>
      </c>
      <c r="L24" s="73"/>
    </row>
    <row r="25" spans="1:12" ht="14.25" customHeight="1" x14ac:dyDescent="0.2">
      <c r="A25" s="67">
        <v>85167990</v>
      </c>
      <c r="B25" s="68">
        <v>0.2591</v>
      </c>
      <c r="C25" s="38">
        <v>0.28560000000000002</v>
      </c>
      <c r="D25" s="38">
        <v>0.30330000000000001</v>
      </c>
      <c r="E25" s="38">
        <v>0</v>
      </c>
      <c r="F25" s="69">
        <v>0.26960000000000001</v>
      </c>
      <c r="G25" s="70">
        <v>0</v>
      </c>
      <c r="H25" s="71">
        <v>0</v>
      </c>
      <c r="I25" s="71">
        <v>0</v>
      </c>
      <c r="J25" s="71">
        <v>0</v>
      </c>
      <c r="K25" s="72">
        <v>0</v>
      </c>
      <c r="L25" s="73"/>
    </row>
    <row r="26" spans="1:12" ht="14.25" customHeight="1" x14ac:dyDescent="0.2">
      <c r="A26" s="76">
        <v>94032000</v>
      </c>
      <c r="B26" s="68">
        <v>0</v>
      </c>
      <c r="C26" s="38">
        <v>0</v>
      </c>
      <c r="D26" s="38">
        <v>0</v>
      </c>
      <c r="E26" s="38">
        <v>0</v>
      </c>
      <c r="F26" s="69">
        <v>0</v>
      </c>
      <c r="G26" s="70">
        <v>0</v>
      </c>
      <c r="H26" s="71">
        <v>0</v>
      </c>
      <c r="I26" s="71">
        <v>0</v>
      </c>
      <c r="J26" s="71">
        <v>0</v>
      </c>
      <c r="K26" s="72">
        <v>0</v>
      </c>
    </row>
    <row r="27" spans="1:12" ht="14.25" customHeight="1" x14ac:dyDescent="0.2">
      <c r="A27" s="67">
        <v>96039000</v>
      </c>
      <c r="B27" s="68">
        <v>0</v>
      </c>
      <c r="C27" s="38">
        <v>0</v>
      </c>
      <c r="D27" s="38">
        <v>0</v>
      </c>
      <c r="E27" s="38">
        <v>0</v>
      </c>
      <c r="F27" s="69">
        <v>0</v>
      </c>
      <c r="G27" s="70">
        <v>0</v>
      </c>
      <c r="H27" s="71">
        <v>0</v>
      </c>
      <c r="I27" s="71">
        <v>0</v>
      </c>
      <c r="J27" s="71">
        <v>0</v>
      </c>
      <c r="K27" s="72">
        <v>0</v>
      </c>
    </row>
    <row r="28" spans="1:12" ht="14.25" customHeight="1" x14ac:dyDescent="0.2">
      <c r="A28" s="76">
        <v>85094090</v>
      </c>
      <c r="B28" s="68">
        <v>0.25779999999999997</v>
      </c>
      <c r="C28" s="38">
        <v>0.2777</v>
      </c>
      <c r="D28" s="38">
        <v>0.30790000000000001</v>
      </c>
      <c r="E28" s="38">
        <v>0</v>
      </c>
      <c r="F28" s="69">
        <v>0.26200000000000001</v>
      </c>
      <c r="G28" s="70">
        <v>0</v>
      </c>
      <c r="H28" s="71">
        <v>0</v>
      </c>
      <c r="I28" s="71">
        <v>0</v>
      </c>
      <c r="J28" s="71">
        <v>0</v>
      </c>
      <c r="K28" s="72">
        <v>0</v>
      </c>
    </row>
    <row r="29" spans="1:12" ht="14.25" customHeight="1" x14ac:dyDescent="0.2">
      <c r="A29" s="67">
        <v>94032000</v>
      </c>
      <c r="B29" s="68">
        <v>0.78</v>
      </c>
      <c r="C29" s="38">
        <v>0</v>
      </c>
      <c r="D29" s="38">
        <v>0</v>
      </c>
      <c r="E29" s="38">
        <v>0</v>
      </c>
      <c r="F29" s="69">
        <v>0</v>
      </c>
      <c r="G29" s="70">
        <v>0</v>
      </c>
      <c r="H29" s="71">
        <v>0</v>
      </c>
      <c r="I29" s="71">
        <v>0</v>
      </c>
      <c r="J29" s="71">
        <v>0</v>
      </c>
      <c r="K29" s="72">
        <v>0</v>
      </c>
    </row>
    <row r="30" spans="1:12" ht="14.25" customHeight="1" x14ac:dyDescent="0.2">
      <c r="A30" s="76">
        <v>94032090</v>
      </c>
      <c r="B30" s="68">
        <v>0</v>
      </c>
      <c r="C30" s="38">
        <v>0</v>
      </c>
      <c r="D30" s="38">
        <v>0</v>
      </c>
      <c r="E30" s="38">
        <v>0</v>
      </c>
      <c r="F30" s="69">
        <v>0</v>
      </c>
      <c r="G30" s="70">
        <v>0</v>
      </c>
      <c r="H30" s="71">
        <v>0</v>
      </c>
      <c r="I30" s="71">
        <v>0</v>
      </c>
      <c r="J30" s="71">
        <v>0</v>
      </c>
      <c r="K30" s="72">
        <v>0</v>
      </c>
    </row>
    <row r="31" spans="1:12" ht="14.25" customHeight="1" x14ac:dyDescent="0.2">
      <c r="A31" s="67">
        <v>96170010</v>
      </c>
      <c r="B31" s="68">
        <v>0</v>
      </c>
      <c r="C31" s="38">
        <v>0</v>
      </c>
      <c r="D31" s="38">
        <v>0</v>
      </c>
      <c r="E31" s="38">
        <v>0</v>
      </c>
      <c r="F31" s="69">
        <v>0</v>
      </c>
      <c r="G31" s="70">
        <v>0</v>
      </c>
      <c r="H31" s="71">
        <v>0</v>
      </c>
      <c r="I31" s="71">
        <v>0</v>
      </c>
      <c r="J31" s="71">
        <v>0</v>
      </c>
      <c r="K31" s="72">
        <v>0</v>
      </c>
    </row>
    <row r="32" spans="1:12" ht="14.25" customHeight="1" x14ac:dyDescent="0.2">
      <c r="A32" s="76">
        <v>70132800</v>
      </c>
      <c r="B32" s="68">
        <v>0.32229999999999998</v>
      </c>
      <c r="C32" s="38">
        <v>0.34510000000000002</v>
      </c>
      <c r="D32" s="38">
        <v>0.37559999999999999</v>
      </c>
      <c r="E32" s="38">
        <v>0</v>
      </c>
      <c r="F32" s="69">
        <v>0.32340000000000002</v>
      </c>
      <c r="G32" s="70">
        <v>0</v>
      </c>
      <c r="H32" s="71">
        <v>0</v>
      </c>
      <c r="I32" s="71">
        <v>0</v>
      </c>
      <c r="J32" s="71">
        <v>0</v>
      </c>
      <c r="K32" s="72">
        <v>0</v>
      </c>
    </row>
    <row r="33" spans="1:12" ht="14.25" customHeight="1" x14ac:dyDescent="0.2">
      <c r="A33" s="67">
        <v>70134210</v>
      </c>
      <c r="B33" s="68" t="s">
        <v>658</v>
      </c>
      <c r="C33" s="38">
        <v>0.34399999999999997</v>
      </c>
      <c r="D33" s="38">
        <v>0.37559999999999999</v>
      </c>
      <c r="E33" s="38">
        <v>0.28970000000000001</v>
      </c>
      <c r="F33" s="69">
        <v>0.32229999999999998</v>
      </c>
      <c r="G33" s="78">
        <v>0</v>
      </c>
      <c r="H33" s="79">
        <v>0</v>
      </c>
      <c r="I33" s="79">
        <v>0</v>
      </c>
      <c r="J33" s="79">
        <v>0</v>
      </c>
      <c r="K33" s="80">
        <v>0</v>
      </c>
      <c r="L33" s="81"/>
    </row>
    <row r="34" spans="1:12" ht="14.25" customHeight="1" x14ac:dyDescent="0.2">
      <c r="A34" s="76">
        <v>70109090</v>
      </c>
      <c r="B34" s="68">
        <v>0</v>
      </c>
      <c r="C34" s="38">
        <v>0</v>
      </c>
      <c r="D34" s="38">
        <v>0</v>
      </c>
      <c r="E34" s="38">
        <v>0</v>
      </c>
      <c r="F34" s="69">
        <v>0</v>
      </c>
      <c r="G34" s="82">
        <v>0</v>
      </c>
      <c r="H34" s="38">
        <v>0</v>
      </c>
      <c r="I34" s="38">
        <v>0</v>
      </c>
      <c r="J34" s="38">
        <v>0</v>
      </c>
      <c r="K34" s="83">
        <v>0</v>
      </c>
      <c r="L34" s="81"/>
    </row>
    <row r="35" spans="1:12" ht="14.25" customHeight="1" x14ac:dyDescent="0.2">
      <c r="A35" s="67">
        <v>70109022</v>
      </c>
      <c r="B35" s="68">
        <v>0</v>
      </c>
      <c r="C35" s="38">
        <v>0</v>
      </c>
      <c r="D35" s="38">
        <v>0</v>
      </c>
      <c r="E35" s="38">
        <v>0</v>
      </c>
      <c r="F35" s="69">
        <v>0</v>
      </c>
      <c r="G35" s="84">
        <v>0</v>
      </c>
      <c r="H35" s="38">
        <v>0</v>
      </c>
      <c r="I35" s="38">
        <v>0</v>
      </c>
      <c r="J35" s="38">
        <v>0</v>
      </c>
      <c r="K35" s="83">
        <v>0</v>
      </c>
      <c r="L35" s="81"/>
    </row>
    <row r="36" spans="1:12" ht="14.25" customHeight="1" x14ac:dyDescent="0.2">
      <c r="A36" s="76">
        <v>70109021</v>
      </c>
      <c r="B36" s="68">
        <v>0</v>
      </c>
      <c r="C36" s="38">
        <v>0</v>
      </c>
      <c r="D36" s="38">
        <v>0</v>
      </c>
      <c r="E36" s="38">
        <v>0</v>
      </c>
      <c r="F36" s="69">
        <v>0</v>
      </c>
      <c r="G36" s="84">
        <v>0</v>
      </c>
      <c r="H36" s="38">
        <v>0</v>
      </c>
      <c r="I36" s="38">
        <v>0</v>
      </c>
      <c r="J36" s="38">
        <v>0</v>
      </c>
      <c r="K36" s="83">
        <v>0</v>
      </c>
      <c r="L36" s="81"/>
    </row>
    <row r="37" spans="1:12" ht="14.25" customHeight="1" x14ac:dyDescent="0.2">
      <c r="A37" s="8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1"/>
    </row>
    <row r="38" spans="1:12" ht="14.25" customHeight="1" x14ac:dyDescent="0.2">
      <c r="A38" s="87"/>
      <c r="C38" s="196" t="s">
        <v>659</v>
      </c>
      <c r="D38" s="181"/>
      <c r="E38" s="181"/>
      <c r="F38" s="181"/>
      <c r="G38" s="182"/>
      <c r="H38" s="88"/>
      <c r="I38" s="81"/>
      <c r="J38" s="81"/>
      <c r="K38" s="81"/>
      <c r="L38" s="81"/>
    </row>
    <row r="39" spans="1:12" ht="14.25" customHeight="1" x14ac:dyDescent="0.2">
      <c r="A39" s="87"/>
      <c r="C39" s="81"/>
      <c r="D39" s="81"/>
      <c r="E39" s="81"/>
      <c r="F39" s="81"/>
      <c r="G39" s="81"/>
      <c r="H39" s="81"/>
      <c r="I39" s="81"/>
      <c r="J39" s="81"/>
      <c r="K39" s="81"/>
      <c r="L39" s="89"/>
    </row>
    <row r="40" spans="1:12" ht="14.25" customHeight="1" x14ac:dyDescent="0.2">
      <c r="A40" s="87"/>
      <c r="B40" s="90"/>
      <c r="C40" s="91" t="s">
        <v>40</v>
      </c>
      <c r="D40" s="91" t="s">
        <v>660</v>
      </c>
      <c r="E40" s="91" t="s">
        <v>661</v>
      </c>
      <c r="F40" s="91" t="s">
        <v>662</v>
      </c>
      <c r="G40" s="91" t="s">
        <v>663</v>
      </c>
      <c r="H40" s="81"/>
      <c r="I40" s="81"/>
      <c r="J40" s="89"/>
      <c r="K40" s="89"/>
      <c r="L40" s="81"/>
    </row>
    <row r="41" spans="1:12" ht="14.25" customHeight="1" x14ac:dyDescent="0.2">
      <c r="A41" s="87"/>
      <c r="C41" s="92" t="s">
        <v>664</v>
      </c>
      <c r="D41" s="93">
        <v>0.5</v>
      </c>
      <c r="E41" s="93">
        <v>0.75609999999999999</v>
      </c>
      <c r="F41" s="94" t="s">
        <v>18</v>
      </c>
      <c r="G41" s="93">
        <v>0.27850000000000003</v>
      </c>
      <c r="H41" s="81"/>
      <c r="I41" s="81"/>
      <c r="J41" s="81"/>
      <c r="K41" s="81"/>
      <c r="L41" s="81"/>
    </row>
    <row r="42" spans="1:12" ht="14.25" customHeight="1" x14ac:dyDescent="0.2">
      <c r="A42" s="87"/>
      <c r="B42" s="95" t="s">
        <v>656</v>
      </c>
      <c r="C42" s="96" t="s">
        <v>664</v>
      </c>
      <c r="D42" s="97">
        <v>0.5</v>
      </c>
      <c r="E42" s="97">
        <v>0.60980000000000001</v>
      </c>
      <c r="F42" s="96" t="s">
        <v>18</v>
      </c>
      <c r="G42" s="97">
        <v>0.17710000000000001</v>
      </c>
      <c r="H42" s="81"/>
      <c r="I42" s="81"/>
      <c r="J42" s="81"/>
      <c r="K42" s="81"/>
      <c r="L42" s="81"/>
    </row>
    <row r="43" spans="1:12" ht="14.25" customHeight="1" x14ac:dyDescent="0.2">
      <c r="A43" s="87"/>
      <c r="C43" s="92" t="s">
        <v>665</v>
      </c>
      <c r="D43" s="93">
        <v>0.7</v>
      </c>
      <c r="E43" s="93">
        <v>0.99019999999999997</v>
      </c>
      <c r="F43" s="94" t="s">
        <v>18</v>
      </c>
      <c r="G43" s="93">
        <v>0.32179999999999997</v>
      </c>
      <c r="H43" s="81"/>
      <c r="I43" s="81"/>
      <c r="J43" s="81"/>
      <c r="K43" s="81"/>
      <c r="L43" s="81"/>
    </row>
    <row r="44" spans="1:12" ht="14.25" customHeight="1" x14ac:dyDescent="0.2">
      <c r="A44" s="87"/>
      <c r="C44" s="92" t="s">
        <v>666</v>
      </c>
      <c r="D44" s="93">
        <v>0.7</v>
      </c>
      <c r="E44" s="93">
        <v>0.99019999999999997</v>
      </c>
      <c r="F44" s="94" t="s">
        <v>18</v>
      </c>
      <c r="G44" s="93">
        <v>0.32179999999999997</v>
      </c>
      <c r="H44" s="81"/>
      <c r="I44" s="81"/>
      <c r="J44" s="81"/>
      <c r="K44" s="81"/>
      <c r="L44" s="81"/>
    </row>
    <row r="45" spans="1:12" ht="14.25" customHeight="1" x14ac:dyDescent="0.2">
      <c r="A45" s="87"/>
      <c r="C45" s="92" t="s">
        <v>667</v>
      </c>
      <c r="D45" s="93">
        <v>0.7</v>
      </c>
      <c r="E45" s="93">
        <v>0.99019999999999997</v>
      </c>
      <c r="F45" s="94" t="s">
        <v>18</v>
      </c>
      <c r="G45" s="93">
        <v>0.32069999999999999</v>
      </c>
      <c r="H45" s="81"/>
      <c r="I45" s="81"/>
      <c r="J45" s="81"/>
      <c r="K45" s="81"/>
      <c r="L45" s="81"/>
    </row>
    <row r="46" spans="1:12" ht="14.25" customHeight="1" x14ac:dyDescent="0.2">
      <c r="A46" s="87"/>
      <c r="B46" s="90"/>
      <c r="C46" s="94" t="s">
        <v>668</v>
      </c>
      <c r="D46" s="93">
        <v>0.7</v>
      </c>
      <c r="E46" s="93">
        <v>0.99019999999999997</v>
      </c>
      <c r="F46" s="94" t="s">
        <v>18</v>
      </c>
      <c r="G46" s="93">
        <v>0.32069999999999999</v>
      </c>
      <c r="H46" s="81"/>
      <c r="I46" s="81"/>
      <c r="J46" s="81"/>
      <c r="K46" s="81"/>
      <c r="L46" s="81"/>
    </row>
    <row r="47" spans="1:12" ht="14.25" customHeight="1" x14ac:dyDescent="0.2">
      <c r="A47" s="87"/>
      <c r="C47" s="92" t="s">
        <v>669</v>
      </c>
      <c r="D47" s="93">
        <v>0.4</v>
      </c>
      <c r="E47" s="93">
        <v>0.63900000000000001</v>
      </c>
      <c r="F47" s="94" t="s">
        <v>18</v>
      </c>
      <c r="G47" s="93">
        <v>0.25750000000000001</v>
      </c>
      <c r="H47" s="81"/>
      <c r="I47" s="81"/>
      <c r="J47" s="81"/>
      <c r="K47" s="81"/>
      <c r="L47" s="81"/>
    </row>
    <row r="48" spans="1:12" ht="14.25" customHeight="1" x14ac:dyDescent="0.2">
      <c r="A48" s="87"/>
      <c r="C48" s="92" t="s">
        <v>670</v>
      </c>
      <c r="D48" s="98">
        <v>0.4</v>
      </c>
      <c r="E48" s="98">
        <v>0.63900000000000001</v>
      </c>
      <c r="F48" s="99" t="s">
        <v>18</v>
      </c>
      <c r="G48" s="93">
        <v>0.2586</v>
      </c>
      <c r="H48" s="81"/>
      <c r="I48" s="81"/>
      <c r="J48" s="81"/>
      <c r="K48" s="81"/>
      <c r="L48" s="81"/>
    </row>
    <row r="49" spans="1:12" ht="14.25" customHeight="1" x14ac:dyDescent="0.2">
      <c r="A49" s="87"/>
      <c r="B49" s="100" t="s">
        <v>656</v>
      </c>
      <c r="C49" s="101" t="s">
        <v>664</v>
      </c>
      <c r="D49" s="102">
        <v>0.5</v>
      </c>
      <c r="E49" s="102">
        <v>0.68069999999999997</v>
      </c>
      <c r="F49" s="103" t="s">
        <v>19</v>
      </c>
      <c r="G49" s="104">
        <v>0.22</v>
      </c>
      <c r="H49" s="81"/>
      <c r="I49" s="81"/>
      <c r="J49" s="81"/>
      <c r="K49" s="81"/>
      <c r="L49" s="81"/>
    </row>
    <row r="50" spans="1:12" ht="14.25" customHeight="1" x14ac:dyDescent="0.2">
      <c r="A50" s="87"/>
      <c r="C50" s="92" t="s">
        <v>664</v>
      </c>
      <c r="D50" s="98">
        <v>0.5</v>
      </c>
      <c r="E50" s="98">
        <v>0.7349</v>
      </c>
      <c r="F50" s="99" t="s">
        <v>19</v>
      </c>
      <c r="G50" s="93">
        <v>0.25740000000000002</v>
      </c>
      <c r="H50" s="81"/>
      <c r="I50" s="81"/>
      <c r="J50" s="81"/>
      <c r="K50" s="81"/>
      <c r="L50" s="81"/>
    </row>
    <row r="51" spans="1:12" ht="14.25" customHeight="1" x14ac:dyDescent="0.2">
      <c r="A51" s="87"/>
      <c r="C51" s="105" t="s">
        <v>664</v>
      </c>
      <c r="D51" s="106">
        <v>0.79769999999999996</v>
      </c>
      <c r="E51" s="107">
        <v>1.1046</v>
      </c>
      <c r="F51" s="108" t="s">
        <v>25</v>
      </c>
      <c r="G51" s="109">
        <v>0.34129999999999999</v>
      </c>
      <c r="H51" s="81"/>
      <c r="I51" s="81"/>
      <c r="J51" s="81"/>
      <c r="K51" s="81"/>
      <c r="L51" s="81"/>
    </row>
    <row r="52" spans="1:12" ht="14.25" customHeight="1" x14ac:dyDescent="0.2">
      <c r="A52" s="87"/>
      <c r="B52" s="90"/>
      <c r="C52" s="110" t="s">
        <v>664</v>
      </c>
      <c r="D52" s="111">
        <v>0.79769999999999996</v>
      </c>
      <c r="E52" s="112">
        <v>0.92920000000000003</v>
      </c>
      <c r="F52" s="110" t="s">
        <v>25</v>
      </c>
      <c r="G52" s="111">
        <v>0.2346</v>
      </c>
      <c r="H52" s="81"/>
      <c r="I52" s="81"/>
      <c r="J52" s="81"/>
      <c r="K52" s="81"/>
      <c r="L52" s="81"/>
    </row>
    <row r="53" spans="1:12" ht="14.25" customHeight="1" x14ac:dyDescent="0.2">
      <c r="A53" s="87"/>
      <c r="B53" s="113" t="s">
        <v>671</v>
      </c>
      <c r="C53" s="114" t="s">
        <v>664</v>
      </c>
      <c r="D53" s="115">
        <v>0.23930000000000001</v>
      </c>
      <c r="E53" s="115">
        <v>0.27879999999999999</v>
      </c>
      <c r="F53" s="114" t="s">
        <v>25</v>
      </c>
      <c r="G53" s="115">
        <v>0.11749999999999999</v>
      </c>
      <c r="H53" s="81"/>
      <c r="I53" s="81"/>
      <c r="J53" s="81"/>
      <c r="K53" s="81"/>
      <c r="L53" s="81"/>
    </row>
    <row r="54" spans="1:12" ht="14.25" customHeight="1" x14ac:dyDescent="0.2">
      <c r="A54" s="87"/>
      <c r="B54" s="116" t="s">
        <v>672</v>
      </c>
      <c r="C54" s="117" t="s">
        <v>664</v>
      </c>
      <c r="D54" s="118">
        <v>0.23930000000000001</v>
      </c>
      <c r="E54" s="118">
        <v>0.33139999999999997</v>
      </c>
      <c r="F54" s="119" t="s">
        <v>25</v>
      </c>
      <c r="G54" s="118">
        <v>0.2021</v>
      </c>
      <c r="H54" s="81"/>
      <c r="I54" s="81"/>
      <c r="J54" s="81"/>
      <c r="K54" s="81"/>
      <c r="L54" s="81"/>
    </row>
    <row r="55" spans="1:12" ht="14.25" customHeight="1" x14ac:dyDescent="0.2">
      <c r="A55" s="87"/>
      <c r="C55" s="92" t="s">
        <v>665</v>
      </c>
      <c r="D55" s="120">
        <v>0.69430000000000003</v>
      </c>
      <c r="E55" s="120">
        <v>0.98360000000000003</v>
      </c>
      <c r="F55" s="121" t="s">
        <v>25</v>
      </c>
      <c r="G55" s="120">
        <v>0.3206</v>
      </c>
      <c r="H55" s="81"/>
      <c r="I55" s="81"/>
      <c r="J55" s="81"/>
      <c r="K55" s="81"/>
      <c r="L55" s="81"/>
    </row>
    <row r="56" spans="1:12" ht="14.25" customHeight="1" x14ac:dyDescent="0.2">
      <c r="A56" s="87"/>
      <c r="C56" s="92" t="s">
        <v>666</v>
      </c>
      <c r="D56" s="93">
        <v>0.62829999999999997</v>
      </c>
      <c r="E56" s="93">
        <v>0.90629999999999999</v>
      </c>
      <c r="F56" s="94" t="s">
        <v>25</v>
      </c>
      <c r="G56" s="93">
        <v>0.30669999999999997</v>
      </c>
      <c r="H56" s="81"/>
      <c r="I56" s="81"/>
      <c r="J56" s="81"/>
      <c r="K56" s="81"/>
      <c r="L56" s="81"/>
    </row>
    <row r="57" spans="1:12" ht="14.25" customHeight="1" x14ac:dyDescent="0.2">
      <c r="A57" s="87"/>
      <c r="C57" s="92" t="s">
        <v>667</v>
      </c>
      <c r="D57" s="93">
        <v>1.0652999999999999</v>
      </c>
      <c r="E57" s="93">
        <v>1.4178999999999999</v>
      </c>
      <c r="F57" s="94" t="s">
        <v>25</v>
      </c>
      <c r="G57" s="93">
        <v>0.3977</v>
      </c>
      <c r="H57" s="81"/>
      <c r="I57" s="81"/>
      <c r="J57" s="81"/>
      <c r="K57" s="81"/>
      <c r="L57" s="81"/>
    </row>
    <row r="58" spans="1:12" ht="14.25" customHeight="1" x14ac:dyDescent="0.2">
      <c r="A58" s="87"/>
      <c r="C58" s="92" t="s">
        <v>668</v>
      </c>
      <c r="D58" s="93">
        <v>0.69430000000000003</v>
      </c>
      <c r="E58" s="93">
        <v>0.98360000000000003</v>
      </c>
      <c r="F58" s="94" t="s">
        <v>25</v>
      </c>
      <c r="G58" s="93">
        <v>0.31950000000000001</v>
      </c>
      <c r="H58" s="81"/>
      <c r="I58" s="81"/>
      <c r="J58" s="81"/>
      <c r="K58" s="81"/>
      <c r="L58" s="81"/>
    </row>
    <row r="59" spans="1:12" ht="14.25" customHeight="1" x14ac:dyDescent="0.2">
      <c r="A59" s="87"/>
      <c r="C59" s="92" t="s">
        <v>669</v>
      </c>
      <c r="D59" s="93">
        <v>0.4</v>
      </c>
      <c r="E59" s="93">
        <v>0.63900000000000001</v>
      </c>
      <c r="F59" s="94" t="s">
        <v>25</v>
      </c>
      <c r="G59" s="93">
        <v>0.25750000000000001</v>
      </c>
      <c r="H59" s="81"/>
      <c r="I59" s="81"/>
      <c r="J59" s="81"/>
      <c r="K59" s="81"/>
      <c r="L59" s="81"/>
    </row>
    <row r="60" spans="1:12" ht="14.25" customHeight="1" x14ac:dyDescent="0.2">
      <c r="A60" s="87"/>
      <c r="C60" s="92" t="s">
        <v>670</v>
      </c>
      <c r="D60" s="93">
        <v>0.43</v>
      </c>
      <c r="E60" s="93">
        <v>0.67410000000000003</v>
      </c>
      <c r="F60" s="94" t="s">
        <v>25</v>
      </c>
      <c r="G60" s="93">
        <v>0.26490000000000002</v>
      </c>
      <c r="H60" s="81"/>
      <c r="I60" s="81"/>
      <c r="J60" s="81"/>
      <c r="K60" s="81"/>
      <c r="L60" s="81"/>
    </row>
    <row r="61" spans="1:12" ht="14.25" customHeight="1" x14ac:dyDescent="0.2">
      <c r="A61" s="87"/>
      <c r="C61" s="92" t="s">
        <v>664</v>
      </c>
      <c r="D61" s="93">
        <v>0.74560000000000004</v>
      </c>
      <c r="E61" s="93">
        <v>1.0947</v>
      </c>
      <c r="F61" s="94" t="s">
        <v>41</v>
      </c>
      <c r="G61" s="93">
        <v>0.38140000000000002</v>
      </c>
      <c r="H61" s="81"/>
      <c r="I61" s="81"/>
      <c r="J61" s="81"/>
      <c r="K61" s="81"/>
      <c r="L61" s="81"/>
    </row>
    <row r="62" spans="1:12" ht="14.25" customHeight="1" x14ac:dyDescent="0.2">
      <c r="A62" s="87"/>
      <c r="C62" s="101" t="s">
        <v>664</v>
      </c>
      <c r="D62" s="104">
        <v>0.74560000000000004</v>
      </c>
      <c r="E62" s="104">
        <v>0.92020000000000002</v>
      </c>
      <c r="F62" s="122" t="s">
        <v>41</v>
      </c>
      <c r="G62" s="104">
        <v>0.27139999999999997</v>
      </c>
      <c r="H62" s="81"/>
      <c r="I62" s="81"/>
      <c r="J62" s="81"/>
      <c r="K62" s="81"/>
      <c r="L62" s="81"/>
    </row>
    <row r="63" spans="1:12" ht="14.25" customHeight="1" x14ac:dyDescent="0.2">
      <c r="A63" s="87"/>
      <c r="C63" s="92" t="s">
        <v>665</v>
      </c>
      <c r="D63" s="93">
        <v>0.71009999999999995</v>
      </c>
      <c r="E63" s="93">
        <v>1.0521</v>
      </c>
      <c r="F63" s="94" t="s">
        <v>41</v>
      </c>
      <c r="G63" s="93">
        <v>0.374</v>
      </c>
      <c r="H63" s="81"/>
      <c r="I63" s="81"/>
      <c r="J63" s="81"/>
      <c r="K63" s="81"/>
      <c r="L63" s="81"/>
    </row>
    <row r="64" spans="1:12" ht="14.25" customHeight="1" x14ac:dyDescent="0.2">
      <c r="A64" s="87"/>
      <c r="C64" s="92" t="s">
        <v>666</v>
      </c>
      <c r="D64" s="93">
        <v>0.6159</v>
      </c>
      <c r="E64" s="93">
        <v>0.93910000000000005</v>
      </c>
      <c r="F64" s="94" t="s">
        <v>41</v>
      </c>
      <c r="G64" s="93">
        <v>0.35139999999999999</v>
      </c>
      <c r="H64" s="81"/>
      <c r="I64" s="81"/>
      <c r="J64" s="81"/>
      <c r="K64" s="81"/>
      <c r="L64" s="81"/>
    </row>
    <row r="65" spans="1:13" ht="14.25" customHeight="1" x14ac:dyDescent="0.2">
      <c r="A65" s="87"/>
      <c r="C65" s="92" t="s">
        <v>667</v>
      </c>
      <c r="D65" s="93">
        <v>0.90210000000000001</v>
      </c>
      <c r="E65" s="93">
        <v>1.2825</v>
      </c>
      <c r="F65" s="94" t="s">
        <v>41</v>
      </c>
      <c r="G65" s="93">
        <v>0.41889999999999999</v>
      </c>
      <c r="H65" s="81"/>
      <c r="I65" s="81"/>
      <c r="J65" s="81"/>
      <c r="K65" s="81"/>
      <c r="L65" s="81"/>
    </row>
    <row r="66" spans="1:13" ht="14.25" customHeight="1" x14ac:dyDescent="0.2">
      <c r="A66" s="87"/>
      <c r="C66" s="92" t="s">
        <v>668</v>
      </c>
      <c r="D66" s="93">
        <v>0.71009999999999995</v>
      </c>
      <c r="E66" s="93">
        <v>1.0521</v>
      </c>
      <c r="F66" s="94" t="s">
        <v>41</v>
      </c>
      <c r="G66" s="93">
        <v>0.37290000000000001</v>
      </c>
      <c r="H66" s="81"/>
      <c r="I66" s="81"/>
      <c r="J66" s="81"/>
      <c r="K66" s="81"/>
      <c r="L66" s="81"/>
    </row>
    <row r="67" spans="1:13" ht="14.25" customHeight="1" x14ac:dyDescent="0.2">
      <c r="A67" s="87"/>
      <c r="C67" s="92" t="s">
        <v>669</v>
      </c>
      <c r="D67" s="93">
        <v>0.43790000000000001</v>
      </c>
      <c r="E67" s="93">
        <v>0.72550000000000003</v>
      </c>
      <c r="F67" s="94" t="s">
        <v>41</v>
      </c>
      <c r="G67" s="93">
        <v>0.3075</v>
      </c>
      <c r="H67" s="81"/>
      <c r="I67" s="81"/>
      <c r="J67" s="81"/>
      <c r="K67" s="81"/>
      <c r="L67" s="81"/>
    </row>
    <row r="68" spans="1:13" ht="14.25" customHeight="1" x14ac:dyDescent="0.2">
      <c r="A68" s="87"/>
      <c r="C68" s="92" t="s">
        <v>670</v>
      </c>
      <c r="D68" s="93">
        <v>0.41360000000000002</v>
      </c>
      <c r="E68" s="93">
        <v>0.69630000000000003</v>
      </c>
      <c r="F68" s="94" t="s">
        <v>41</v>
      </c>
      <c r="G68" s="93">
        <v>0.30280000000000001</v>
      </c>
      <c r="H68" s="81"/>
      <c r="I68" s="81"/>
      <c r="J68" s="81"/>
      <c r="K68" s="81"/>
      <c r="L68" s="81"/>
    </row>
    <row r="69" spans="1:13" ht="14.25" customHeight="1" x14ac:dyDescent="0.2">
      <c r="A69" s="87"/>
      <c r="C69" s="92" t="s">
        <v>664</v>
      </c>
      <c r="D69" s="93">
        <v>0.38</v>
      </c>
      <c r="E69" s="93">
        <v>0.59609999999999996</v>
      </c>
      <c r="F69" s="94" t="s">
        <v>50</v>
      </c>
      <c r="G69" s="93">
        <v>0.23380000000000001</v>
      </c>
      <c r="H69" s="81"/>
      <c r="I69" s="81"/>
      <c r="J69" s="81"/>
      <c r="K69" s="81"/>
      <c r="L69" s="81"/>
    </row>
    <row r="70" spans="1:13" ht="14.25" customHeight="1" x14ac:dyDescent="0.2">
      <c r="A70" s="87"/>
      <c r="C70" s="101" t="s">
        <v>664</v>
      </c>
      <c r="D70" s="104">
        <v>0.38</v>
      </c>
      <c r="E70" s="104">
        <v>0.46310000000000001</v>
      </c>
      <c r="F70" s="122" t="s">
        <v>50</v>
      </c>
      <c r="G70" s="104">
        <v>0.1361</v>
      </c>
      <c r="H70" s="81"/>
      <c r="I70" s="81"/>
      <c r="J70" s="81"/>
      <c r="K70" s="81"/>
      <c r="L70" s="81"/>
    </row>
    <row r="71" spans="1:13" ht="14.25" customHeight="1" x14ac:dyDescent="0.2">
      <c r="A71" s="87"/>
      <c r="B71" s="90"/>
      <c r="C71" s="94" t="s">
        <v>665</v>
      </c>
      <c r="D71" s="93">
        <v>0.54</v>
      </c>
      <c r="E71" s="93">
        <v>0.78120000000000001</v>
      </c>
      <c r="F71" s="94" t="s">
        <v>50</v>
      </c>
      <c r="G71" s="93">
        <v>0.26640000000000003</v>
      </c>
      <c r="H71" s="81"/>
      <c r="I71" s="81"/>
      <c r="J71" s="81"/>
      <c r="K71" s="81"/>
      <c r="L71" s="81"/>
    </row>
    <row r="72" spans="1:13" ht="14.25" customHeight="1" x14ac:dyDescent="0.2">
      <c r="A72" s="87"/>
      <c r="B72" s="90"/>
      <c r="C72" s="94" t="s">
        <v>666</v>
      </c>
      <c r="D72" s="93">
        <v>0.55000000000000004</v>
      </c>
      <c r="E72" s="93">
        <v>0.79269999999999996</v>
      </c>
      <c r="F72" s="94" t="s">
        <v>50</v>
      </c>
      <c r="G72" s="93">
        <v>0.26829999999999998</v>
      </c>
      <c r="H72" s="81"/>
      <c r="I72" s="81"/>
      <c r="J72" s="81"/>
      <c r="K72" s="81"/>
      <c r="L72" s="81"/>
    </row>
    <row r="73" spans="1:13" ht="14.25" customHeight="1" x14ac:dyDescent="0.2">
      <c r="A73" s="87"/>
      <c r="C73" s="92" t="s">
        <v>667</v>
      </c>
      <c r="D73" s="93">
        <v>0.53</v>
      </c>
      <c r="E73" s="93">
        <v>0.76959999999999995</v>
      </c>
      <c r="F73" s="94" t="s">
        <v>50</v>
      </c>
      <c r="G73" s="93">
        <v>0.26329999999999998</v>
      </c>
      <c r="H73" s="81"/>
      <c r="I73" s="81"/>
      <c r="J73" s="81"/>
      <c r="K73" s="81"/>
      <c r="L73" s="81"/>
    </row>
    <row r="74" spans="1:13" ht="14.25" customHeight="1" x14ac:dyDescent="0.2">
      <c r="A74" s="87"/>
      <c r="C74" s="92" t="s">
        <v>668</v>
      </c>
      <c r="D74" s="93">
        <v>0.54</v>
      </c>
      <c r="E74" s="93">
        <v>0.78120000000000001</v>
      </c>
      <c r="F74" s="94" t="s">
        <v>50</v>
      </c>
      <c r="G74" s="93">
        <v>0.26519999999999999</v>
      </c>
      <c r="H74" s="81"/>
      <c r="I74" s="81"/>
      <c r="J74" s="81"/>
      <c r="K74" s="81"/>
      <c r="L74" s="81"/>
    </row>
    <row r="75" spans="1:13" ht="14.25" customHeight="1" x14ac:dyDescent="0.2">
      <c r="A75" s="87"/>
      <c r="C75" s="92" t="s">
        <v>669</v>
      </c>
      <c r="D75" s="93">
        <v>0.4</v>
      </c>
      <c r="E75" s="93">
        <v>0.61919999999999997</v>
      </c>
      <c r="F75" s="94" t="s">
        <v>50</v>
      </c>
      <c r="G75" s="93">
        <v>0.23769999999999999</v>
      </c>
      <c r="H75" s="81"/>
      <c r="I75" s="81"/>
      <c r="J75" s="81"/>
      <c r="K75" s="81"/>
      <c r="L75" s="81"/>
    </row>
    <row r="76" spans="1:13" ht="14.25" customHeight="1" x14ac:dyDescent="0.2">
      <c r="A76" s="87"/>
      <c r="B76" s="90"/>
      <c r="C76" s="94" t="s">
        <v>670</v>
      </c>
      <c r="D76" s="93">
        <v>0.43</v>
      </c>
      <c r="E76" s="93">
        <v>0.65390000000000004</v>
      </c>
      <c r="F76" s="94" t="s">
        <v>50</v>
      </c>
      <c r="G76" s="93">
        <v>0.2447</v>
      </c>
      <c r="H76" s="81"/>
      <c r="I76" s="81"/>
      <c r="J76" s="81"/>
      <c r="K76" s="81"/>
      <c r="L76" s="81"/>
    </row>
    <row r="77" spans="1:13" ht="14.25" customHeight="1" x14ac:dyDescent="0.2">
      <c r="B77" s="90"/>
      <c r="C77" s="123" t="s">
        <v>664</v>
      </c>
      <c r="D77" s="124">
        <v>0.71140000000000003</v>
      </c>
      <c r="E77" s="124">
        <v>1.0036</v>
      </c>
      <c r="F77" s="123" t="s">
        <v>42</v>
      </c>
      <c r="G77" s="124">
        <v>0.3231</v>
      </c>
      <c r="H77" s="81"/>
      <c r="I77" s="81"/>
      <c r="J77" s="81"/>
      <c r="K77" s="81"/>
      <c r="L77" s="125"/>
    </row>
    <row r="78" spans="1:13" ht="14.25" customHeight="1" x14ac:dyDescent="0.2">
      <c r="B78" s="90"/>
      <c r="C78" s="123" t="s">
        <v>664</v>
      </c>
      <c r="D78" s="124">
        <v>0.71140000000000003</v>
      </c>
      <c r="E78" s="124">
        <v>0.83660000000000001</v>
      </c>
      <c r="F78" s="123" t="s">
        <v>42</v>
      </c>
      <c r="G78" s="124">
        <v>0.21790000000000001</v>
      </c>
      <c r="H78" s="81"/>
      <c r="I78" s="81"/>
      <c r="J78" s="81"/>
      <c r="K78" s="81"/>
      <c r="L78" s="81"/>
      <c r="M78" s="126"/>
    </row>
    <row r="79" spans="1:13" ht="14.25" customHeight="1" x14ac:dyDescent="0.2">
      <c r="C79" s="127" t="s">
        <v>665</v>
      </c>
      <c r="D79" s="124">
        <v>0.70750000000000002</v>
      </c>
      <c r="E79" s="124">
        <v>0.999</v>
      </c>
      <c r="F79" s="123" t="s">
        <v>42</v>
      </c>
      <c r="G79" s="124">
        <v>0.32340000000000002</v>
      </c>
      <c r="H79" s="81"/>
      <c r="I79" s="81"/>
      <c r="J79" s="81"/>
      <c r="K79" s="81"/>
      <c r="L79" s="81"/>
    </row>
    <row r="80" spans="1:13" ht="14.25" customHeight="1" x14ac:dyDescent="0.2">
      <c r="C80" s="128" t="s">
        <v>666</v>
      </c>
      <c r="D80" s="129">
        <v>0.48899999999999999</v>
      </c>
      <c r="E80" s="129">
        <v>0.74319999999999997</v>
      </c>
      <c r="F80" s="130" t="s">
        <v>42</v>
      </c>
      <c r="G80" s="129">
        <v>0.27729999999999999</v>
      </c>
      <c r="H80" s="81"/>
      <c r="I80" s="81"/>
      <c r="J80" s="81"/>
      <c r="K80" s="81"/>
      <c r="L80" s="81"/>
    </row>
    <row r="81" spans="1:12" ht="14.25" customHeight="1" x14ac:dyDescent="0.2">
      <c r="C81" s="128" t="s">
        <v>673</v>
      </c>
      <c r="D81" s="131">
        <v>0.70750000000000002</v>
      </c>
      <c r="E81" s="132">
        <v>0.999</v>
      </c>
      <c r="F81" s="128" t="s">
        <v>42</v>
      </c>
      <c r="G81" s="131">
        <v>0.32229999999999998</v>
      </c>
      <c r="H81" s="81"/>
      <c r="I81" s="81"/>
      <c r="J81" s="81"/>
      <c r="K81" s="81"/>
      <c r="L81" s="81"/>
    </row>
    <row r="82" spans="1:12" ht="14.25" customHeight="1" x14ac:dyDescent="0.2">
      <c r="C82" s="128" t="s">
        <v>667</v>
      </c>
      <c r="D82" s="131">
        <v>0.75660000000000005</v>
      </c>
      <c r="E82" s="131">
        <v>1.0565</v>
      </c>
      <c r="F82" s="133" t="s">
        <v>42</v>
      </c>
      <c r="G82" s="134">
        <v>0.33260000000000001</v>
      </c>
      <c r="H82" s="81"/>
      <c r="I82" s="81"/>
      <c r="J82" s="81"/>
      <c r="K82" s="81"/>
      <c r="L82" s="81"/>
    </row>
    <row r="83" spans="1:12" ht="14.25" customHeight="1" x14ac:dyDescent="0.2">
      <c r="B83" s="90"/>
      <c r="C83" s="130" t="s">
        <v>668</v>
      </c>
      <c r="D83" s="135">
        <v>0.70750000000000002</v>
      </c>
      <c r="E83" s="135">
        <v>0.999</v>
      </c>
      <c r="F83" s="136" t="s">
        <v>42</v>
      </c>
      <c r="G83" s="135">
        <v>0.32229999999999998</v>
      </c>
      <c r="H83" s="81"/>
      <c r="I83" s="81"/>
      <c r="J83" s="81"/>
      <c r="K83" s="81"/>
      <c r="L83" s="81"/>
    </row>
    <row r="84" spans="1:12" ht="14.25" customHeight="1" x14ac:dyDescent="0.2">
      <c r="A84" s="87"/>
      <c r="B84" s="90"/>
      <c r="C84" s="137" t="s">
        <v>669</v>
      </c>
      <c r="D84" s="107">
        <v>0.42</v>
      </c>
      <c r="E84" s="107">
        <v>0.66239999999999999</v>
      </c>
      <c r="F84" s="138" t="s">
        <v>42</v>
      </c>
      <c r="G84" s="107">
        <v>0.26169999999999999</v>
      </c>
      <c r="H84" s="81"/>
      <c r="I84" s="81"/>
      <c r="J84" s="81"/>
      <c r="K84" s="81"/>
      <c r="L84" s="81"/>
    </row>
    <row r="85" spans="1:12" ht="14.25" customHeight="1" x14ac:dyDescent="0.2">
      <c r="A85" s="87"/>
      <c r="B85" s="90"/>
      <c r="C85" s="94" t="s">
        <v>670</v>
      </c>
      <c r="D85" s="120">
        <v>0.45</v>
      </c>
      <c r="E85" s="120">
        <v>0.6976</v>
      </c>
      <c r="F85" s="121" t="s">
        <v>42</v>
      </c>
      <c r="G85" s="120">
        <v>0.26910000000000001</v>
      </c>
      <c r="H85" s="81"/>
      <c r="I85" s="81"/>
      <c r="J85" s="81"/>
      <c r="K85" s="81"/>
      <c r="L85" s="81"/>
    </row>
    <row r="86" spans="1:12" ht="14.25" customHeight="1" x14ac:dyDescent="0.2">
      <c r="C86" s="139"/>
      <c r="D86" s="139"/>
      <c r="E86" s="139"/>
      <c r="F86" s="139"/>
      <c r="G86" s="139"/>
      <c r="H86" s="81"/>
      <c r="I86" s="81"/>
      <c r="J86" s="81"/>
      <c r="K86" s="81"/>
      <c r="L86" s="81"/>
    </row>
    <row r="87" spans="1:12" ht="14.25" customHeight="1" x14ac:dyDescent="0.2">
      <c r="C87" s="140" t="s">
        <v>674</v>
      </c>
      <c r="D87" s="195" t="s">
        <v>675</v>
      </c>
      <c r="E87" s="169"/>
      <c r="F87" s="169"/>
      <c r="G87" s="169"/>
      <c r="H87" s="170"/>
      <c r="I87" s="81"/>
      <c r="J87" s="81"/>
      <c r="K87" s="81"/>
      <c r="L87" s="81"/>
    </row>
    <row r="88" spans="1:12" ht="14.25" customHeight="1" x14ac:dyDescent="0.2">
      <c r="C88" s="81"/>
      <c r="D88" s="141" t="s">
        <v>676</v>
      </c>
      <c r="E88" s="142"/>
      <c r="F88" s="81"/>
      <c r="G88" s="81"/>
      <c r="H88" s="81"/>
      <c r="I88" s="81"/>
      <c r="J88" s="81"/>
      <c r="K88" s="81"/>
      <c r="L88" s="81"/>
    </row>
    <row r="89" spans="1:12" ht="14.25" customHeight="1" x14ac:dyDescent="0.2">
      <c r="C89" s="81"/>
      <c r="D89" s="143"/>
      <c r="E89" s="195" t="s">
        <v>677</v>
      </c>
      <c r="F89" s="170"/>
      <c r="G89" s="81"/>
      <c r="H89" s="81"/>
      <c r="I89" s="81"/>
      <c r="J89" s="81"/>
      <c r="K89" s="81"/>
      <c r="L89" s="89"/>
    </row>
    <row r="90" spans="1:12" ht="14.25" customHeight="1" x14ac:dyDescent="0.2">
      <c r="C90" s="81"/>
      <c r="D90" s="144"/>
      <c r="E90" s="89" t="s">
        <v>678</v>
      </c>
      <c r="F90" s="89"/>
      <c r="G90" s="89"/>
      <c r="H90" s="89"/>
      <c r="I90" s="89"/>
      <c r="J90" s="89"/>
      <c r="K90" s="89"/>
    </row>
    <row r="91" spans="1:12" ht="14.25" customHeight="1" x14ac:dyDescent="0.2">
      <c r="E91" s="87"/>
      <c r="F91" s="87"/>
      <c r="G91" s="87"/>
      <c r="H91" s="87"/>
      <c r="I91" s="87"/>
      <c r="J91" s="87"/>
    </row>
    <row r="92" spans="1:12" ht="14.25" customHeight="1" x14ac:dyDescent="0.2">
      <c r="E92" s="87"/>
      <c r="F92" s="87"/>
      <c r="G92" s="87"/>
      <c r="H92" s="87"/>
      <c r="I92" s="87"/>
      <c r="J92" s="87"/>
    </row>
    <row r="93" spans="1:12" ht="14.25" customHeight="1" x14ac:dyDescent="0.2">
      <c r="B93" s="90"/>
      <c r="C93" s="183" t="s">
        <v>679</v>
      </c>
      <c r="D93" s="184"/>
      <c r="E93" s="184"/>
      <c r="F93" s="184"/>
      <c r="G93" s="185"/>
      <c r="H93" s="87"/>
      <c r="I93" s="87"/>
      <c r="J93" s="87"/>
    </row>
    <row r="94" spans="1:12" ht="14.25" customHeight="1" x14ac:dyDescent="0.2">
      <c r="C94" s="145"/>
      <c r="D94" s="145"/>
      <c r="E94" s="145"/>
      <c r="F94" s="145"/>
      <c r="G94" s="145"/>
      <c r="H94" s="87"/>
      <c r="I94" s="87"/>
      <c r="J94" s="87"/>
    </row>
    <row r="95" spans="1:12" ht="14.25" customHeight="1" x14ac:dyDescent="0.2">
      <c r="B95" s="90"/>
      <c r="C95" s="146" t="s">
        <v>680</v>
      </c>
      <c r="D95" s="180" t="s">
        <v>681</v>
      </c>
      <c r="E95" s="181"/>
      <c r="F95" s="181"/>
      <c r="G95" s="182"/>
      <c r="H95" s="147"/>
      <c r="I95" s="87"/>
      <c r="J95" s="87"/>
    </row>
    <row r="96" spans="1:12" ht="14.25" customHeight="1" x14ac:dyDescent="0.2">
      <c r="B96" s="90"/>
      <c r="C96" s="148">
        <v>0</v>
      </c>
      <c r="D96" s="186" t="s">
        <v>682</v>
      </c>
      <c r="E96" s="187"/>
      <c r="F96" s="187"/>
      <c r="G96" s="188"/>
      <c r="H96" s="147"/>
      <c r="I96" s="87"/>
      <c r="J96" s="87"/>
    </row>
    <row r="97" spans="1:10" ht="14.25" customHeight="1" x14ac:dyDescent="0.2">
      <c r="C97" s="149">
        <v>1</v>
      </c>
      <c r="D97" s="189" t="s">
        <v>683</v>
      </c>
      <c r="E97" s="178"/>
      <c r="F97" s="178"/>
      <c r="G97" s="190"/>
      <c r="H97" s="147"/>
      <c r="J97" s="87"/>
    </row>
    <row r="98" spans="1:10" ht="14.25" customHeight="1" x14ac:dyDescent="0.2">
      <c r="B98" s="90"/>
      <c r="C98" s="150">
        <v>2</v>
      </c>
      <c r="D98" s="151" t="s">
        <v>684</v>
      </c>
      <c r="E98" s="152"/>
      <c r="F98" s="152"/>
      <c r="G98" s="153"/>
      <c r="H98" s="147"/>
      <c r="I98" s="87"/>
      <c r="J98" s="87"/>
    </row>
    <row r="99" spans="1:10" ht="14.25" customHeight="1" x14ac:dyDescent="0.2">
      <c r="B99" s="90"/>
      <c r="C99" s="154">
        <v>5</v>
      </c>
      <c r="D99" s="155" t="s">
        <v>685</v>
      </c>
      <c r="E99" s="156"/>
      <c r="F99" s="156"/>
      <c r="G99" s="157"/>
      <c r="H99" s="147"/>
      <c r="I99" s="87"/>
      <c r="J99" s="87"/>
    </row>
    <row r="100" spans="1:10" ht="14.25" customHeight="1" x14ac:dyDescent="0.2">
      <c r="C100" s="158"/>
      <c r="D100" s="159"/>
      <c r="E100" s="160"/>
      <c r="F100" s="160"/>
      <c r="G100" s="160"/>
      <c r="H100" s="87"/>
      <c r="I100" s="87"/>
      <c r="J100" s="87"/>
    </row>
    <row r="101" spans="1:10" ht="36" customHeight="1" x14ac:dyDescent="0.2">
      <c r="A101" s="161"/>
      <c r="C101" s="197" t="s">
        <v>686</v>
      </c>
      <c r="D101" s="181"/>
      <c r="E101" s="181"/>
      <c r="F101" s="181"/>
      <c r="G101" s="182"/>
      <c r="H101" s="87"/>
      <c r="I101" s="87"/>
      <c r="J101" s="87"/>
    </row>
    <row r="102" spans="1:10" ht="14.25" customHeight="1" x14ac:dyDescent="0.2">
      <c r="C102" s="100"/>
      <c r="D102" s="162"/>
      <c r="E102" s="163"/>
      <c r="F102" s="163"/>
      <c r="G102" s="163"/>
      <c r="H102" s="87"/>
      <c r="I102" s="87"/>
      <c r="J102" s="87"/>
    </row>
    <row r="103" spans="1:10" ht="14.25" customHeight="1" x14ac:dyDescent="0.2">
      <c r="C103" s="100"/>
      <c r="D103" s="162"/>
      <c r="E103" s="163"/>
      <c r="F103" s="163"/>
      <c r="G103" s="163"/>
      <c r="H103" s="87"/>
      <c r="I103" s="87"/>
      <c r="J103" s="87"/>
    </row>
    <row r="104" spans="1:10" ht="14.25" customHeight="1" x14ac:dyDescent="0.2">
      <c r="C104" s="100"/>
      <c r="F104" s="87"/>
      <c r="G104" s="87"/>
      <c r="H104" s="87"/>
      <c r="I104" s="87"/>
      <c r="J104" s="87"/>
    </row>
    <row r="105" spans="1:10" ht="14.25" customHeight="1" x14ac:dyDescent="0.2">
      <c r="E105" s="87"/>
      <c r="F105" s="87"/>
      <c r="G105" s="87"/>
      <c r="H105" s="87"/>
      <c r="I105" s="87"/>
      <c r="J105" s="87"/>
    </row>
    <row r="106" spans="1:10" ht="14.25" customHeight="1" x14ac:dyDescent="0.2">
      <c r="E106" s="87"/>
      <c r="F106" s="87"/>
      <c r="G106" s="87"/>
      <c r="H106" s="87"/>
      <c r="I106" s="87"/>
      <c r="J106" s="87"/>
    </row>
    <row r="107" spans="1:10" ht="14.25" customHeight="1" x14ac:dyDescent="0.2">
      <c r="E107" s="87"/>
      <c r="F107" s="87"/>
      <c r="G107" s="87"/>
      <c r="H107" s="87"/>
      <c r="I107" s="87"/>
      <c r="J107" s="87"/>
    </row>
    <row r="108" spans="1:10" ht="14.25" customHeight="1" x14ac:dyDescent="0.2">
      <c r="E108" s="87"/>
      <c r="F108" s="87"/>
      <c r="G108" s="87"/>
      <c r="H108" s="87"/>
      <c r="I108" s="87"/>
      <c r="J108" s="87"/>
    </row>
    <row r="109" spans="1:10" ht="14.25" customHeight="1" x14ac:dyDescent="0.2">
      <c r="E109" s="87"/>
      <c r="F109" s="87"/>
      <c r="G109" s="87"/>
      <c r="H109" s="87"/>
      <c r="I109" s="87"/>
      <c r="J109" s="87"/>
    </row>
    <row r="110" spans="1:10" ht="14.25" customHeight="1" x14ac:dyDescent="0.2">
      <c r="E110" s="87"/>
      <c r="F110" s="87"/>
      <c r="G110" s="87"/>
      <c r="H110" s="87"/>
      <c r="I110" s="87"/>
      <c r="J110" s="87"/>
    </row>
    <row r="111" spans="1:10" ht="14.25" customHeight="1" x14ac:dyDescent="0.2">
      <c r="E111" s="87"/>
      <c r="F111" s="87"/>
      <c r="G111" s="87"/>
      <c r="H111" s="87"/>
      <c r="I111" s="87"/>
      <c r="J111" s="87"/>
    </row>
    <row r="112" spans="1:10" ht="14.25" customHeight="1" x14ac:dyDescent="0.2">
      <c r="E112" s="87"/>
      <c r="F112" s="87"/>
      <c r="G112" s="87"/>
      <c r="H112" s="87"/>
      <c r="I112" s="87"/>
      <c r="J112" s="87"/>
    </row>
    <row r="113" spans="4:24" ht="14.25" customHeight="1" x14ac:dyDescent="0.2">
      <c r="E113" s="87"/>
      <c r="F113" s="87"/>
      <c r="G113" s="87"/>
      <c r="H113" s="87"/>
      <c r="I113" s="87"/>
      <c r="J113" s="87"/>
    </row>
    <row r="114" spans="4:24" ht="14.25" customHeight="1" x14ac:dyDescent="0.2">
      <c r="E114" s="87"/>
      <c r="F114" s="87"/>
      <c r="G114" s="87"/>
      <c r="H114" s="87"/>
      <c r="I114" s="87"/>
      <c r="J114" s="87"/>
    </row>
    <row r="115" spans="4:24" ht="14.25" customHeight="1" x14ac:dyDescent="0.2">
      <c r="E115" s="87"/>
      <c r="F115" s="87"/>
      <c r="G115" s="87"/>
      <c r="H115" s="87"/>
      <c r="I115" s="87"/>
      <c r="J115" s="87"/>
    </row>
    <row r="116" spans="4:24" ht="14.25" customHeight="1" x14ac:dyDescent="0.2">
      <c r="E116" s="87"/>
      <c r="F116" s="87"/>
      <c r="G116" s="87"/>
      <c r="H116" s="87"/>
      <c r="I116" s="87"/>
      <c r="J116" s="87"/>
    </row>
    <row r="117" spans="4:24" ht="14.25" customHeight="1" x14ac:dyDescent="0.2">
      <c r="E117" s="87"/>
      <c r="F117" s="87"/>
      <c r="G117" s="87"/>
      <c r="H117" s="87"/>
      <c r="I117" s="87"/>
      <c r="J117" s="87"/>
    </row>
    <row r="118" spans="4:24" ht="14.25" customHeight="1" x14ac:dyDescent="0.2">
      <c r="D118" s="42"/>
      <c r="E118" s="43"/>
      <c r="F118" s="43"/>
      <c r="G118" s="164"/>
      <c r="H118" s="164"/>
      <c r="I118" s="164"/>
      <c r="J118" s="164"/>
      <c r="K118" s="164"/>
      <c r="L118" s="164"/>
      <c r="M118" s="191"/>
      <c r="N118" s="166"/>
      <c r="O118" s="166"/>
      <c r="P118" s="164"/>
      <c r="Q118" s="164"/>
      <c r="R118" s="45"/>
      <c r="S118" s="45"/>
      <c r="T118" s="45"/>
      <c r="U118" s="45"/>
      <c r="V118" s="45"/>
      <c r="W118" s="43"/>
      <c r="X118" s="42"/>
    </row>
    <row r="119" spans="4:24" ht="14.25" customHeight="1" x14ac:dyDescent="0.2">
      <c r="E119" s="87"/>
      <c r="F119" s="87"/>
      <c r="G119" s="87"/>
      <c r="H119" s="87"/>
      <c r="I119" s="87"/>
      <c r="J119" s="87"/>
    </row>
    <row r="120" spans="4:24" ht="14.25" customHeight="1" x14ac:dyDescent="0.2">
      <c r="E120" s="87"/>
      <c r="F120" s="87"/>
      <c r="G120" s="87"/>
      <c r="H120" s="87"/>
      <c r="I120" s="87"/>
      <c r="J120" s="87"/>
    </row>
    <row r="121" spans="4:24" ht="14.25" customHeight="1" x14ac:dyDescent="0.2">
      <c r="E121" s="87"/>
      <c r="F121" s="87"/>
      <c r="G121" s="87"/>
      <c r="H121" s="87"/>
      <c r="I121" s="87"/>
      <c r="J121" s="87"/>
    </row>
    <row r="122" spans="4:24" ht="14.25" customHeight="1" x14ac:dyDescent="0.2">
      <c r="E122" s="87"/>
      <c r="F122" s="87"/>
      <c r="G122" s="87"/>
      <c r="H122" s="87"/>
      <c r="I122" s="87"/>
      <c r="J122" s="87"/>
    </row>
    <row r="123" spans="4:24" ht="14.25" customHeight="1" x14ac:dyDescent="0.2">
      <c r="E123" s="87"/>
      <c r="F123" s="87"/>
      <c r="G123" s="87"/>
      <c r="H123" s="87"/>
      <c r="I123" s="87"/>
      <c r="J123" s="87"/>
    </row>
    <row r="124" spans="4:24" ht="14.25" customHeight="1" x14ac:dyDescent="0.2">
      <c r="E124" s="87"/>
      <c r="F124" s="87"/>
      <c r="G124" s="87"/>
      <c r="H124" s="87"/>
      <c r="I124" s="87"/>
      <c r="J124" s="87"/>
    </row>
    <row r="125" spans="4:24" ht="14.25" customHeight="1" x14ac:dyDescent="0.2">
      <c r="E125" s="87"/>
      <c r="F125" s="87"/>
      <c r="G125" s="87"/>
      <c r="H125" s="87"/>
      <c r="I125" s="87"/>
      <c r="J125" s="87"/>
    </row>
    <row r="126" spans="4:24" ht="14.25" customHeight="1" x14ac:dyDescent="0.2">
      <c r="E126" s="87"/>
      <c r="F126" s="87"/>
      <c r="G126" s="87"/>
      <c r="H126" s="87"/>
      <c r="I126" s="87"/>
      <c r="J126" s="87"/>
    </row>
    <row r="127" spans="4:24" ht="14.25" customHeight="1" x14ac:dyDescent="0.2">
      <c r="E127" s="87"/>
      <c r="F127" s="87"/>
      <c r="G127" s="87"/>
      <c r="H127" s="87"/>
      <c r="I127" s="87"/>
      <c r="J127" s="87"/>
    </row>
    <row r="128" spans="4:24" ht="14.25" customHeight="1" x14ac:dyDescent="0.2">
      <c r="E128" s="87"/>
      <c r="F128" s="87"/>
      <c r="G128" s="87"/>
      <c r="H128" s="87"/>
      <c r="I128" s="87"/>
      <c r="J128" s="87"/>
    </row>
    <row r="129" spans="5:10" ht="14.25" customHeight="1" x14ac:dyDescent="0.2">
      <c r="E129" s="87"/>
      <c r="F129" s="87"/>
      <c r="G129" s="87"/>
      <c r="H129" s="87"/>
      <c r="I129" s="87"/>
      <c r="J129" s="87"/>
    </row>
    <row r="130" spans="5:10" ht="14.25" customHeight="1" x14ac:dyDescent="0.2">
      <c r="E130" s="87"/>
      <c r="F130" s="87"/>
      <c r="G130" s="87"/>
      <c r="H130" s="87"/>
      <c r="I130" s="87"/>
      <c r="J130" s="87"/>
    </row>
    <row r="131" spans="5:10" ht="14.25" customHeight="1" x14ac:dyDescent="0.2">
      <c r="E131" s="87"/>
      <c r="F131" s="87"/>
      <c r="G131" s="87"/>
      <c r="H131" s="87"/>
      <c r="I131" s="87"/>
      <c r="J131" s="87"/>
    </row>
    <row r="132" spans="5:10" ht="14.25" customHeight="1" x14ac:dyDescent="0.2">
      <c r="E132" s="87"/>
      <c r="F132" s="87"/>
      <c r="G132" s="87"/>
      <c r="H132" s="87"/>
      <c r="I132" s="87"/>
      <c r="J132" s="87"/>
    </row>
    <row r="133" spans="5:10" ht="14.25" customHeight="1" x14ac:dyDescent="0.2">
      <c r="E133" s="87"/>
      <c r="F133" s="87"/>
      <c r="G133" s="87"/>
      <c r="H133" s="87"/>
      <c r="I133" s="87"/>
      <c r="J133" s="87"/>
    </row>
    <row r="134" spans="5:10" ht="14.25" customHeight="1" x14ac:dyDescent="0.2">
      <c r="E134" s="87"/>
      <c r="F134" s="87"/>
      <c r="G134" s="87"/>
      <c r="H134" s="87"/>
      <c r="I134" s="87"/>
      <c r="J134" s="87"/>
    </row>
    <row r="135" spans="5:10" ht="14.25" customHeight="1" x14ac:dyDescent="0.2">
      <c r="E135" s="87"/>
      <c r="F135" s="87"/>
      <c r="G135" s="87"/>
      <c r="H135" s="87"/>
      <c r="I135" s="87"/>
      <c r="J135" s="87"/>
    </row>
    <row r="136" spans="5:10" ht="14.25" customHeight="1" x14ac:dyDescent="0.2">
      <c r="E136" s="87"/>
      <c r="F136" s="87"/>
      <c r="G136" s="87"/>
      <c r="H136" s="87"/>
      <c r="I136" s="87"/>
      <c r="J136" s="87"/>
    </row>
    <row r="137" spans="5:10" ht="14.25" customHeight="1" x14ac:dyDescent="0.2">
      <c r="E137" s="87"/>
      <c r="F137" s="87"/>
      <c r="G137" s="87"/>
      <c r="H137" s="87"/>
      <c r="I137" s="87"/>
      <c r="J137" s="87"/>
    </row>
    <row r="138" spans="5:10" ht="14.25" customHeight="1" x14ac:dyDescent="0.2">
      <c r="E138" s="87"/>
      <c r="F138" s="87"/>
      <c r="G138" s="87"/>
      <c r="H138" s="87"/>
      <c r="I138" s="87"/>
      <c r="J138" s="87"/>
    </row>
    <row r="139" spans="5:10" ht="14.25" customHeight="1" x14ac:dyDescent="0.2">
      <c r="E139" s="87"/>
      <c r="F139" s="87"/>
      <c r="G139" s="87"/>
      <c r="H139" s="87"/>
      <c r="I139" s="87"/>
      <c r="J139" s="87"/>
    </row>
    <row r="140" spans="5:10" ht="14.25" customHeight="1" x14ac:dyDescent="0.2">
      <c r="E140" s="87"/>
      <c r="F140" s="87"/>
      <c r="G140" s="87"/>
      <c r="H140" s="87"/>
      <c r="I140" s="87"/>
      <c r="J140" s="87"/>
    </row>
    <row r="141" spans="5:10" ht="14.25" customHeight="1" x14ac:dyDescent="0.2">
      <c r="E141" s="87"/>
      <c r="F141" s="87"/>
      <c r="G141" s="87"/>
      <c r="H141" s="87"/>
      <c r="I141" s="87"/>
      <c r="J141" s="87"/>
    </row>
    <row r="142" spans="5:10" ht="14.25" customHeight="1" x14ac:dyDescent="0.2">
      <c r="E142" s="87"/>
      <c r="F142" s="87"/>
      <c r="G142" s="87"/>
      <c r="H142" s="87"/>
      <c r="I142" s="87"/>
      <c r="J142" s="87"/>
    </row>
    <row r="143" spans="5:10" ht="14.25" customHeight="1" x14ac:dyDescent="0.2">
      <c r="E143" s="87"/>
      <c r="F143" s="87"/>
      <c r="G143" s="87"/>
      <c r="H143" s="87"/>
      <c r="I143" s="87"/>
      <c r="J143" s="87"/>
    </row>
    <row r="144" spans="5:10" ht="14.25" customHeight="1" x14ac:dyDescent="0.2">
      <c r="E144" s="87"/>
      <c r="F144" s="87"/>
      <c r="G144" s="87"/>
      <c r="H144" s="87"/>
      <c r="I144" s="87"/>
      <c r="J144" s="87"/>
    </row>
    <row r="145" spans="5:10" ht="14.25" customHeight="1" x14ac:dyDescent="0.2">
      <c r="E145" s="87"/>
      <c r="F145" s="87"/>
      <c r="G145" s="87"/>
      <c r="H145" s="87"/>
      <c r="I145" s="87"/>
      <c r="J145" s="87"/>
    </row>
    <row r="146" spans="5:10" ht="14.25" customHeight="1" x14ac:dyDescent="0.2">
      <c r="E146" s="87"/>
      <c r="F146" s="87"/>
      <c r="G146" s="87"/>
      <c r="H146" s="87"/>
      <c r="I146" s="87"/>
      <c r="J146" s="87"/>
    </row>
    <row r="147" spans="5:10" ht="14.25" customHeight="1" x14ac:dyDescent="0.2">
      <c r="E147" s="87"/>
      <c r="F147" s="87"/>
      <c r="G147" s="87"/>
      <c r="H147" s="87"/>
      <c r="I147" s="87"/>
      <c r="J147" s="87"/>
    </row>
    <row r="148" spans="5:10" ht="14.25" customHeight="1" x14ac:dyDescent="0.2">
      <c r="E148" s="87"/>
      <c r="F148" s="87"/>
      <c r="G148" s="87"/>
      <c r="H148" s="87"/>
      <c r="I148" s="87"/>
      <c r="J148" s="87"/>
    </row>
    <row r="149" spans="5:10" ht="14.25" customHeight="1" x14ac:dyDescent="0.2">
      <c r="E149" s="87"/>
      <c r="F149" s="87"/>
      <c r="G149" s="87"/>
      <c r="H149" s="87"/>
      <c r="I149" s="87"/>
      <c r="J149" s="87"/>
    </row>
    <row r="150" spans="5:10" ht="14.25" customHeight="1" x14ac:dyDescent="0.2">
      <c r="E150" s="87"/>
      <c r="F150" s="87"/>
      <c r="G150" s="87"/>
      <c r="H150" s="87"/>
      <c r="I150" s="87"/>
      <c r="J150" s="87"/>
    </row>
    <row r="151" spans="5:10" ht="14.25" customHeight="1" x14ac:dyDescent="0.2">
      <c r="E151" s="87"/>
      <c r="F151" s="87"/>
      <c r="G151" s="87"/>
      <c r="H151" s="87"/>
      <c r="I151" s="87"/>
      <c r="J151" s="87"/>
    </row>
    <row r="152" spans="5:10" ht="14.25" customHeight="1" x14ac:dyDescent="0.2">
      <c r="E152" s="87"/>
      <c r="F152" s="87"/>
      <c r="G152" s="87"/>
      <c r="H152" s="87"/>
      <c r="I152" s="87"/>
      <c r="J152" s="87"/>
    </row>
    <row r="153" spans="5:10" ht="14.25" customHeight="1" x14ac:dyDescent="0.2">
      <c r="E153" s="87"/>
      <c r="F153" s="87"/>
      <c r="G153" s="87"/>
      <c r="H153" s="87"/>
      <c r="I153" s="87"/>
      <c r="J153" s="87"/>
    </row>
    <row r="154" spans="5:10" ht="14.25" customHeight="1" x14ac:dyDescent="0.2">
      <c r="E154" s="87"/>
      <c r="F154" s="87"/>
      <c r="G154" s="87"/>
      <c r="H154" s="87"/>
      <c r="I154" s="87"/>
      <c r="J154" s="87"/>
    </row>
    <row r="155" spans="5:10" ht="14.25" customHeight="1" x14ac:dyDescent="0.2">
      <c r="E155" s="87"/>
      <c r="F155" s="87"/>
      <c r="G155" s="87"/>
      <c r="H155" s="87"/>
      <c r="I155" s="87"/>
      <c r="J155" s="87"/>
    </row>
    <row r="156" spans="5:10" ht="14.25" customHeight="1" x14ac:dyDescent="0.2">
      <c r="E156" s="87"/>
      <c r="F156" s="87"/>
      <c r="G156" s="87"/>
      <c r="H156" s="87"/>
      <c r="I156" s="87"/>
      <c r="J156" s="87"/>
    </row>
    <row r="157" spans="5:10" ht="14.25" customHeight="1" x14ac:dyDescent="0.2">
      <c r="E157" s="87"/>
      <c r="F157" s="87"/>
      <c r="G157" s="87"/>
      <c r="H157" s="87"/>
      <c r="I157" s="87"/>
      <c r="J157" s="87"/>
    </row>
    <row r="158" spans="5:10" ht="14.25" customHeight="1" x14ac:dyDescent="0.2">
      <c r="E158" s="87"/>
      <c r="F158" s="87"/>
      <c r="G158" s="87"/>
      <c r="H158" s="87"/>
      <c r="I158" s="87"/>
      <c r="J158" s="87"/>
    </row>
    <row r="159" spans="5:10" ht="14.25" customHeight="1" x14ac:dyDescent="0.2">
      <c r="E159" s="87"/>
      <c r="F159" s="87"/>
      <c r="G159" s="87"/>
      <c r="H159" s="87"/>
      <c r="I159" s="87"/>
      <c r="J159" s="87"/>
    </row>
    <row r="160" spans="5:10" ht="14.25" customHeight="1" x14ac:dyDescent="0.2">
      <c r="E160" s="87"/>
      <c r="F160" s="87"/>
      <c r="G160" s="87"/>
      <c r="H160" s="87"/>
      <c r="I160" s="87"/>
      <c r="J160" s="87"/>
    </row>
    <row r="161" spans="5:10" ht="14.25" customHeight="1" x14ac:dyDescent="0.2">
      <c r="E161" s="87"/>
      <c r="F161" s="87"/>
      <c r="G161" s="87"/>
      <c r="H161" s="87"/>
      <c r="I161" s="87"/>
      <c r="J161" s="87"/>
    </row>
    <row r="162" spans="5:10" ht="14.25" customHeight="1" x14ac:dyDescent="0.2">
      <c r="E162" s="87"/>
      <c r="F162" s="87"/>
      <c r="G162" s="87"/>
      <c r="H162" s="87"/>
      <c r="I162" s="87"/>
      <c r="J162" s="87"/>
    </row>
    <row r="163" spans="5:10" ht="14.25" customHeight="1" x14ac:dyDescent="0.2">
      <c r="E163" s="87"/>
      <c r="F163" s="87"/>
      <c r="G163" s="87"/>
      <c r="H163" s="87"/>
      <c r="I163" s="87"/>
      <c r="J163" s="87"/>
    </row>
    <row r="164" spans="5:10" ht="14.25" customHeight="1" x14ac:dyDescent="0.2">
      <c r="E164" s="87"/>
      <c r="F164" s="87"/>
      <c r="G164" s="87"/>
      <c r="H164" s="87"/>
      <c r="I164" s="87"/>
      <c r="J164" s="87"/>
    </row>
    <row r="165" spans="5:10" ht="14.25" customHeight="1" x14ac:dyDescent="0.2">
      <c r="E165" s="87"/>
      <c r="F165" s="87"/>
      <c r="G165" s="87"/>
      <c r="H165" s="87"/>
      <c r="I165" s="87"/>
      <c r="J165" s="87"/>
    </row>
    <row r="166" spans="5:10" ht="14.25" customHeight="1" x14ac:dyDescent="0.2">
      <c r="E166" s="87"/>
      <c r="F166" s="87"/>
      <c r="G166" s="87"/>
      <c r="H166" s="87"/>
      <c r="I166" s="87"/>
      <c r="J166" s="87"/>
    </row>
    <row r="167" spans="5:10" ht="14.25" customHeight="1" x14ac:dyDescent="0.2">
      <c r="E167" s="87"/>
      <c r="F167" s="87"/>
      <c r="G167" s="87"/>
      <c r="H167" s="87"/>
      <c r="I167" s="87"/>
      <c r="J167" s="87"/>
    </row>
    <row r="168" spans="5:10" ht="14.25" customHeight="1" x14ac:dyDescent="0.2">
      <c r="E168" s="87"/>
      <c r="F168" s="87"/>
      <c r="G168" s="87"/>
      <c r="H168" s="87"/>
      <c r="I168" s="87"/>
      <c r="J168" s="87"/>
    </row>
    <row r="169" spans="5:10" ht="14.25" customHeight="1" x14ac:dyDescent="0.2">
      <c r="E169" s="87"/>
      <c r="F169" s="87"/>
      <c r="G169" s="87"/>
      <c r="H169" s="87"/>
      <c r="I169" s="87"/>
      <c r="J169" s="87"/>
    </row>
    <row r="170" spans="5:10" ht="14.25" customHeight="1" x14ac:dyDescent="0.2">
      <c r="E170" s="87"/>
      <c r="F170" s="87"/>
      <c r="G170" s="87"/>
      <c r="H170" s="87"/>
      <c r="I170" s="87"/>
      <c r="J170" s="87"/>
    </row>
    <row r="171" spans="5:10" ht="14.25" customHeight="1" x14ac:dyDescent="0.2">
      <c r="E171" s="87"/>
      <c r="F171" s="87"/>
      <c r="G171" s="87"/>
      <c r="H171" s="87"/>
      <c r="I171" s="87"/>
      <c r="J171" s="87"/>
    </row>
    <row r="172" spans="5:10" ht="14.25" customHeight="1" x14ac:dyDescent="0.2">
      <c r="E172" s="87"/>
      <c r="F172" s="87"/>
      <c r="G172" s="87"/>
      <c r="H172" s="87"/>
      <c r="I172" s="87"/>
      <c r="J172" s="87"/>
    </row>
    <row r="173" spans="5:10" ht="14.25" customHeight="1" x14ac:dyDescent="0.2">
      <c r="E173" s="87"/>
      <c r="F173" s="87"/>
      <c r="G173" s="87"/>
      <c r="H173" s="87"/>
      <c r="I173" s="87"/>
      <c r="J173" s="87"/>
    </row>
    <row r="174" spans="5:10" ht="14.25" customHeight="1" x14ac:dyDescent="0.2">
      <c r="E174" s="87"/>
      <c r="F174" s="87"/>
      <c r="G174" s="87"/>
      <c r="H174" s="87"/>
      <c r="I174" s="87"/>
      <c r="J174" s="87"/>
    </row>
    <row r="175" spans="5:10" ht="14.25" customHeight="1" x14ac:dyDescent="0.2">
      <c r="E175" s="87"/>
      <c r="F175" s="87"/>
      <c r="G175" s="87"/>
      <c r="H175" s="87"/>
      <c r="I175" s="87"/>
      <c r="J175" s="87"/>
    </row>
    <row r="176" spans="5:10" ht="14.25" customHeight="1" x14ac:dyDescent="0.2">
      <c r="E176" s="87"/>
      <c r="F176" s="87"/>
      <c r="G176" s="87"/>
      <c r="H176" s="87"/>
      <c r="I176" s="87"/>
      <c r="J176" s="87"/>
    </row>
    <row r="177" spans="5:10" ht="14.25" customHeight="1" x14ac:dyDescent="0.2">
      <c r="E177" s="87"/>
      <c r="F177" s="87"/>
      <c r="G177" s="87"/>
      <c r="H177" s="87"/>
      <c r="I177" s="87"/>
      <c r="J177" s="87"/>
    </row>
    <row r="178" spans="5:10" ht="14.25" customHeight="1" x14ac:dyDescent="0.2">
      <c r="E178" s="87"/>
      <c r="F178" s="87"/>
      <c r="G178" s="87"/>
      <c r="H178" s="87"/>
      <c r="I178" s="87"/>
      <c r="J178" s="87"/>
    </row>
    <row r="179" spans="5:10" ht="14.25" customHeight="1" x14ac:dyDescent="0.2">
      <c r="E179" s="87"/>
      <c r="F179" s="87"/>
      <c r="G179" s="87"/>
      <c r="H179" s="87"/>
      <c r="I179" s="87"/>
      <c r="J179" s="87"/>
    </row>
    <row r="180" spans="5:10" ht="14.25" customHeight="1" x14ac:dyDescent="0.2">
      <c r="E180" s="87"/>
      <c r="F180" s="87"/>
      <c r="G180" s="87"/>
      <c r="H180" s="87"/>
      <c r="I180" s="87"/>
      <c r="J180" s="87"/>
    </row>
    <row r="181" spans="5:10" ht="14.25" customHeight="1" x14ac:dyDescent="0.2">
      <c r="E181" s="87"/>
      <c r="F181" s="87"/>
      <c r="G181" s="87"/>
      <c r="H181" s="87"/>
      <c r="I181" s="87"/>
      <c r="J181" s="87"/>
    </row>
    <row r="182" spans="5:10" ht="14.25" customHeight="1" x14ac:dyDescent="0.2">
      <c r="E182" s="87"/>
      <c r="F182" s="87"/>
      <c r="G182" s="87"/>
      <c r="H182" s="87"/>
      <c r="I182" s="87"/>
      <c r="J182" s="87"/>
    </row>
    <row r="183" spans="5:10" ht="14.25" customHeight="1" x14ac:dyDescent="0.2">
      <c r="E183" s="87"/>
      <c r="F183" s="87"/>
      <c r="G183" s="87"/>
      <c r="H183" s="87"/>
      <c r="I183" s="87"/>
      <c r="J183" s="87"/>
    </row>
    <row r="184" spans="5:10" ht="14.25" customHeight="1" x14ac:dyDescent="0.2">
      <c r="E184" s="87"/>
      <c r="F184" s="87"/>
      <c r="G184" s="87"/>
      <c r="H184" s="87"/>
      <c r="I184" s="87"/>
      <c r="J184" s="87"/>
    </row>
    <row r="185" spans="5:10" ht="14.25" customHeight="1" x14ac:dyDescent="0.2">
      <c r="E185" s="87"/>
      <c r="F185" s="87"/>
      <c r="G185" s="87"/>
      <c r="H185" s="87"/>
      <c r="I185" s="87"/>
      <c r="J185" s="87"/>
    </row>
    <row r="186" spans="5:10" ht="14.25" customHeight="1" x14ac:dyDescent="0.2">
      <c r="E186" s="87"/>
      <c r="F186" s="87"/>
      <c r="G186" s="87"/>
      <c r="H186" s="87"/>
      <c r="I186" s="87"/>
      <c r="J186" s="87"/>
    </row>
    <row r="187" spans="5:10" ht="14.25" customHeight="1" x14ac:dyDescent="0.2">
      <c r="E187" s="87"/>
      <c r="F187" s="87"/>
      <c r="G187" s="87"/>
      <c r="H187" s="87"/>
      <c r="I187" s="87"/>
      <c r="J187" s="87"/>
    </row>
    <row r="188" spans="5:10" ht="14.25" customHeight="1" x14ac:dyDescent="0.2">
      <c r="E188" s="87"/>
      <c r="F188" s="87"/>
      <c r="G188" s="87"/>
      <c r="H188" s="87"/>
      <c r="I188" s="87"/>
      <c r="J188" s="87"/>
    </row>
    <row r="189" spans="5:10" ht="14.25" customHeight="1" x14ac:dyDescent="0.2">
      <c r="E189" s="87"/>
      <c r="F189" s="87"/>
      <c r="G189" s="87"/>
      <c r="H189" s="87"/>
      <c r="I189" s="87"/>
      <c r="J189" s="87"/>
    </row>
    <row r="190" spans="5:10" ht="14.25" customHeight="1" x14ac:dyDescent="0.2">
      <c r="E190" s="87"/>
      <c r="F190" s="87"/>
      <c r="G190" s="87"/>
      <c r="H190" s="87"/>
      <c r="I190" s="87"/>
      <c r="J190" s="87"/>
    </row>
    <row r="191" spans="5:10" ht="14.25" customHeight="1" x14ac:dyDescent="0.2">
      <c r="E191" s="87"/>
      <c r="F191" s="87"/>
      <c r="G191" s="87"/>
      <c r="H191" s="87"/>
      <c r="I191" s="87"/>
      <c r="J191" s="87"/>
    </row>
    <row r="192" spans="5:10" ht="14.25" customHeight="1" x14ac:dyDescent="0.2">
      <c r="E192" s="87"/>
      <c r="F192" s="87"/>
      <c r="G192" s="87"/>
      <c r="H192" s="87"/>
      <c r="I192" s="87"/>
      <c r="J192" s="87"/>
    </row>
    <row r="193" spans="5:10" ht="14.25" customHeight="1" x14ac:dyDescent="0.2">
      <c r="E193" s="87"/>
      <c r="F193" s="87"/>
      <c r="G193" s="87"/>
      <c r="H193" s="87"/>
      <c r="I193" s="87"/>
      <c r="J193" s="87"/>
    </row>
    <row r="194" spans="5:10" ht="14.25" customHeight="1" x14ac:dyDescent="0.2">
      <c r="E194" s="87"/>
      <c r="F194" s="87"/>
      <c r="G194" s="87"/>
      <c r="H194" s="87"/>
      <c r="I194" s="87"/>
      <c r="J194" s="87"/>
    </row>
    <row r="195" spans="5:10" ht="14.25" customHeight="1" x14ac:dyDescent="0.2">
      <c r="E195" s="87"/>
      <c r="F195" s="87"/>
      <c r="G195" s="87"/>
      <c r="H195" s="87"/>
      <c r="I195" s="87"/>
      <c r="J195" s="87"/>
    </row>
    <row r="196" spans="5:10" ht="14.25" customHeight="1" x14ac:dyDescent="0.2">
      <c r="E196" s="87"/>
      <c r="F196" s="87"/>
      <c r="G196" s="87"/>
      <c r="H196" s="87"/>
      <c r="I196" s="87"/>
      <c r="J196" s="87"/>
    </row>
    <row r="197" spans="5:10" ht="14.25" customHeight="1" x14ac:dyDescent="0.2">
      <c r="E197" s="87"/>
      <c r="F197" s="87"/>
      <c r="G197" s="87"/>
      <c r="H197" s="87"/>
      <c r="I197" s="87"/>
      <c r="J197" s="87"/>
    </row>
    <row r="198" spans="5:10" ht="14.25" customHeight="1" x14ac:dyDescent="0.2">
      <c r="E198" s="87"/>
      <c r="F198" s="87"/>
      <c r="G198" s="87"/>
      <c r="H198" s="87"/>
      <c r="I198" s="87"/>
      <c r="J198" s="87"/>
    </row>
    <row r="199" spans="5:10" ht="14.25" customHeight="1" x14ac:dyDescent="0.2">
      <c r="E199" s="87"/>
      <c r="F199" s="87"/>
      <c r="G199" s="87"/>
      <c r="H199" s="87"/>
      <c r="I199" s="87"/>
      <c r="J199" s="87"/>
    </row>
    <row r="200" spans="5:10" ht="14.25" customHeight="1" x14ac:dyDescent="0.2">
      <c r="E200" s="87"/>
      <c r="F200" s="87"/>
      <c r="G200" s="87"/>
      <c r="H200" s="87"/>
      <c r="I200" s="87"/>
      <c r="J200" s="87"/>
    </row>
    <row r="201" spans="5:10" ht="14.25" customHeight="1" x14ac:dyDescent="0.2">
      <c r="E201" s="87"/>
      <c r="F201" s="87"/>
      <c r="G201" s="87"/>
      <c r="H201" s="87"/>
      <c r="I201" s="87"/>
      <c r="J201" s="87"/>
    </row>
    <row r="202" spans="5:10" ht="14.25" customHeight="1" x14ac:dyDescent="0.2">
      <c r="E202" s="87"/>
      <c r="F202" s="87"/>
      <c r="G202" s="87"/>
      <c r="H202" s="87"/>
      <c r="I202" s="87"/>
      <c r="J202" s="87"/>
    </row>
    <row r="203" spans="5:10" ht="14.25" customHeight="1" x14ac:dyDescent="0.2">
      <c r="E203" s="87"/>
      <c r="F203" s="87"/>
      <c r="G203" s="87"/>
      <c r="H203" s="87"/>
      <c r="I203" s="87"/>
      <c r="J203" s="87"/>
    </row>
    <row r="204" spans="5:10" ht="14.25" customHeight="1" x14ac:dyDescent="0.2">
      <c r="E204" s="87"/>
      <c r="F204" s="87"/>
      <c r="G204" s="87"/>
      <c r="H204" s="87"/>
      <c r="I204" s="87"/>
      <c r="J204" s="87"/>
    </row>
    <row r="205" spans="5:10" ht="14.25" customHeight="1" x14ac:dyDescent="0.2">
      <c r="E205" s="87"/>
      <c r="F205" s="87"/>
      <c r="G205" s="87"/>
      <c r="H205" s="87"/>
      <c r="I205" s="87"/>
      <c r="J205" s="87"/>
    </row>
    <row r="206" spans="5:10" ht="14.25" customHeight="1" x14ac:dyDescent="0.2">
      <c r="E206" s="87"/>
      <c r="F206" s="87"/>
      <c r="G206" s="87"/>
      <c r="H206" s="87"/>
      <c r="I206" s="87"/>
      <c r="J206" s="87"/>
    </row>
    <row r="207" spans="5:10" ht="14.25" customHeight="1" x14ac:dyDescent="0.2">
      <c r="E207" s="87"/>
      <c r="F207" s="87"/>
      <c r="G207" s="87"/>
      <c r="H207" s="87"/>
      <c r="I207" s="87"/>
      <c r="J207" s="87"/>
    </row>
    <row r="208" spans="5:10" ht="14.25" customHeight="1" x14ac:dyDescent="0.2">
      <c r="E208" s="87"/>
      <c r="F208" s="87"/>
      <c r="G208" s="87"/>
      <c r="H208" s="87"/>
      <c r="I208" s="87"/>
      <c r="J208" s="87"/>
    </row>
    <row r="209" spans="5:10" ht="14.25" customHeight="1" x14ac:dyDescent="0.2">
      <c r="E209" s="87"/>
      <c r="F209" s="87"/>
      <c r="G209" s="87"/>
      <c r="H209" s="87"/>
      <c r="I209" s="87"/>
      <c r="J209" s="87"/>
    </row>
    <row r="210" spans="5:10" ht="14.25" customHeight="1" x14ac:dyDescent="0.2">
      <c r="E210" s="87"/>
      <c r="F210" s="87"/>
      <c r="G210" s="87"/>
      <c r="H210" s="87"/>
      <c r="I210" s="87"/>
      <c r="J210" s="87"/>
    </row>
    <row r="211" spans="5:10" ht="14.25" customHeight="1" x14ac:dyDescent="0.2">
      <c r="E211" s="87"/>
      <c r="F211" s="87"/>
      <c r="G211" s="87"/>
      <c r="H211" s="87"/>
      <c r="I211" s="87"/>
      <c r="J211" s="87"/>
    </row>
    <row r="212" spans="5:10" ht="14.25" customHeight="1" x14ac:dyDescent="0.2">
      <c r="E212" s="87"/>
      <c r="F212" s="87"/>
      <c r="G212" s="87"/>
      <c r="H212" s="87"/>
      <c r="I212" s="87"/>
      <c r="J212" s="87"/>
    </row>
    <row r="213" spans="5:10" ht="14.25" customHeight="1" x14ac:dyDescent="0.2">
      <c r="E213" s="87"/>
      <c r="F213" s="87"/>
      <c r="G213" s="87"/>
      <c r="H213" s="87"/>
      <c r="I213" s="87"/>
      <c r="J213" s="87"/>
    </row>
    <row r="214" spans="5:10" ht="14.25" customHeight="1" x14ac:dyDescent="0.2">
      <c r="E214" s="87"/>
      <c r="F214" s="87"/>
      <c r="G214" s="87"/>
      <c r="H214" s="87"/>
      <c r="I214" s="87"/>
      <c r="J214" s="87"/>
    </row>
    <row r="215" spans="5:10" ht="14.25" customHeight="1" x14ac:dyDescent="0.2">
      <c r="E215" s="87"/>
      <c r="F215" s="87"/>
      <c r="G215" s="87"/>
      <c r="H215" s="87"/>
      <c r="I215" s="87"/>
      <c r="J215" s="87"/>
    </row>
    <row r="216" spans="5:10" ht="14.25" customHeight="1" x14ac:dyDescent="0.2">
      <c r="E216" s="87"/>
      <c r="F216" s="87"/>
      <c r="G216" s="87"/>
      <c r="H216" s="87"/>
      <c r="I216" s="87"/>
      <c r="J216" s="87"/>
    </row>
    <row r="217" spans="5:10" ht="14.25" customHeight="1" x14ac:dyDescent="0.2">
      <c r="E217" s="87"/>
      <c r="F217" s="87"/>
      <c r="G217" s="87"/>
      <c r="H217" s="87"/>
      <c r="I217" s="87"/>
      <c r="J217" s="87"/>
    </row>
    <row r="218" spans="5:10" ht="14.25" customHeight="1" x14ac:dyDescent="0.2">
      <c r="E218" s="87"/>
      <c r="F218" s="87"/>
      <c r="G218" s="87"/>
      <c r="H218" s="87"/>
      <c r="I218" s="87"/>
      <c r="J218" s="87"/>
    </row>
    <row r="219" spans="5:10" ht="14.25" customHeight="1" x14ac:dyDescent="0.2">
      <c r="E219" s="87"/>
      <c r="F219" s="87"/>
      <c r="G219" s="87"/>
      <c r="H219" s="87"/>
      <c r="I219" s="87"/>
      <c r="J219" s="87"/>
    </row>
    <row r="220" spans="5:10" ht="14.25" customHeight="1" x14ac:dyDescent="0.2">
      <c r="E220" s="87"/>
      <c r="F220" s="87"/>
      <c r="G220" s="87"/>
      <c r="H220" s="87"/>
      <c r="I220" s="87"/>
      <c r="J220" s="87"/>
    </row>
    <row r="221" spans="5:10" ht="14.25" customHeight="1" x14ac:dyDescent="0.2">
      <c r="E221" s="87"/>
      <c r="F221" s="87"/>
      <c r="G221" s="87"/>
      <c r="H221" s="87"/>
      <c r="I221" s="87"/>
      <c r="J221" s="87"/>
    </row>
    <row r="222" spans="5:10" ht="14.25" customHeight="1" x14ac:dyDescent="0.2">
      <c r="E222" s="87"/>
      <c r="F222" s="87"/>
      <c r="G222" s="87"/>
      <c r="H222" s="87"/>
      <c r="I222" s="87"/>
      <c r="J222" s="87"/>
    </row>
    <row r="223" spans="5:10" ht="14.25" customHeight="1" x14ac:dyDescent="0.2">
      <c r="E223" s="87"/>
      <c r="F223" s="87"/>
      <c r="G223" s="87"/>
      <c r="H223" s="87"/>
      <c r="I223" s="87"/>
      <c r="J223" s="87"/>
    </row>
    <row r="224" spans="5:10" ht="14.25" customHeight="1" x14ac:dyDescent="0.2">
      <c r="E224" s="87"/>
      <c r="F224" s="87"/>
      <c r="G224" s="87"/>
      <c r="H224" s="87"/>
      <c r="I224" s="87"/>
      <c r="J224" s="87"/>
    </row>
    <row r="225" spans="5:10" ht="14.25" customHeight="1" x14ac:dyDescent="0.2">
      <c r="E225" s="87"/>
      <c r="F225" s="87"/>
      <c r="G225" s="87"/>
      <c r="H225" s="87"/>
      <c r="I225" s="87"/>
      <c r="J225" s="87"/>
    </row>
    <row r="226" spans="5:10" ht="14.25" customHeight="1" x14ac:dyDescent="0.2">
      <c r="E226" s="87"/>
      <c r="F226" s="87"/>
      <c r="G226" s="87"/>
      <c r="H226" s="87"/>
      <c r="I226" s="87"/>
      <c r="J226" s="87"/>
    </row>
    <row r="227" spans="5:10" ht="14.25" customHeight="1" x14ac:dyDescent="0.2">
      <c r="E227" s="87"/>
      <c r="F227" s="87"/>
      <c r="G227" s="87"/>
      <c r="H227" s="87"/>
      <c r="I227" s="87"/>
      <c r="J227" s="87"/>
    </row>
    <row r="228" spans="5:10" ht="14.25" customHeight="1" x14ac:dyDescent="0.2">
      <c r="E228" s="87"/>
      <c r="F228" s="87"/>
      <c r="G228" s="87"/>
      <c r="H228" s="87"/>
      <c r="I228" s="87"/>
      <c r="J228" s="87"/>
    </row>
    <row r="229" spans="5:10" ht="14.25" customHeight="1" x14ac:dyDescent="0.2">
      <c r="E229" s="87"/>
      <c r="F229" s="87"/>
      <c r="G229" s="87"/>
      <c r="H229" s="87"/>
      <c r="I229" s="87"/>
      <c r="J229" s="87"/>
    </row>
    <row r="230" spans="5:10" ht="14.25" customHeight="1" x14ac:dyDescent="0.2">
      <c r="E230" s="87"/>
      <c r="F230" s="87"/>
      <c r="G230" s="87"/>
      <c r="H230" s="87"/>
      <c r="I230" s="87"/>
      <c r="J230" s="87"/>
    </row>
    <row r="231" spans="5:10" ht="14.25" customHeight="1" x14ac:dyDescent="0.2">
      <c r="E231" s="87"/>
      <c r="F231" s="87"/>
      <c r="G231" s="87"/>
      <c r="H231" s="87"/>
      <c r="I231" s="87"/>
      <c r="J231" s="87"/>
    </row>
    <row r="232" spans="5:10" ht="14.25" customHeight="1" x14ac:dyDescent="0.2">
      <c r="E232" s="87"/>
      <c r="F232" s="87"/>
      <c r="G232" s="87"/>
      <c r="H232" s="87"/>
      <c r="I232" s="87"/>
      <c r="J232" s="87"/>
    </row>
    <row r="233" spans="5:10" ht="14.25" customHeight="1" x14ac:dyDescent="0.2">
      <c r="E233" s="87"/>
      <c r="F233" s="87"/>
      <c r="G233" s="87"/>
      <c r="H233" s="87"/>
      <c r="I233" s="87"/>
      <c r="J233" s="87"/>
    </row>
    <row r="234" spans="5:10" ht="14.25" customHeight="1" x14ac:dyDescent="0.2">
      <c r="E234" s="87"/>
      <c r="F234" s="87"/>
      <c r="G234" s="87"/>
      <c r="H234" s="87"/>
      <c r="I234" s="87"/>
      <c r="J234" s="87"/>
    </row>
    <row r="235" spans="5:10" ht="14.25" customHeight="1" x14ac:dyDescent="0.2">
      <c r="E235" s="87"/>
      <c r="F235" s="87"/>
      <c r="G235" s="87"/>
      <c r="H235" s="87"/>
      <c r="I235" s="87"/>
      <c r="J235" s="87"/>
    </row>
    <row r="236" spans="5:10" ht="14.25" customHeight="1" x14ac:dyDescent="0.2">
      <c r="E236" s="87"/>
      <c r="F236" s="87"/>
      <c r="G236" s="87"/>
      <c r="H236" s="87"/>
      <c r="I236" s="87"/>
      <c r="J236" s="87"/>
    </row>
    <row r="237" spans="5:10" ht="14.25" customHeight="1" x14ac:dyDescent="0.2">
      <c r="E237" s="87"/>
      <c r="F237" s="87"/>
      <c r="G237" s="87"/>
      <c r="H237" s="87"/>
      <c r="I237" s="87"/>
      <c r="J237" s="87"/>
    </row>
    <row r="238" spans="5:10" ht="14.25" customHeight="1" x14ac:dyDescent="0.2">
      <c r="E238" s="87"/>
      <c r="F238" s="87"/>
      <c r="G238" s="87"/>
      <c r="H238" s="87"/>
      <c r="I238" s="87"/>
      <c r="J238" s="87"/>
    </row>
    <row r="239" spans="5:10" ht="14.25" customHeight="1" x14ac:dyDescent="0.2">
      <c r="E239" s="87"/>
      <c r="F239" s="87"/>
      <c r="G239" s="87"/>
      <c r="H239" s="87"/>
      <c r="I239" s="87"/>
      <c r="J239" s="87"/>
    </row>
    <row r="240" spans="5:10" ht="14.25" customHeight="1" x14ac:dyDescent="0.2">
      <c r="E240" s="87"/>
      <c r="F240" s="87"/>
      <c r="G240" s="87"/>
      <c r="H240" s="87"/>
      <c r="I240" s="87"/>
      <c r="J240" s="87"/>
    </row>
    <row r="241" spans="5:10" ht="14.25" customHeight="1" x14ac:dyDescent="0.2">
      <c r="E241" s="87"/>
      <c r="F241" s="87"/>
      <c r="G241" s="87"/>
      <c r="H241" s="87"/>
      <c r="I241" s="87"/>
      <c r="J241" s="87"/>
    </row>
    <row r="242" spans="5:10" ht="14.25" customHeight="1" x14ac:dyDescent="0.2">
      <c r="E242" s="87"/>
      <c r="F242" s="87"/>
      <c r="G242" s="87"/>
      <c r="H242" s="87"/>
      <c r="I242" s="87"/>
      <c r="J242" s="87"/>
    </row>
    <row r="243" spans="5:10" ht="14.25" customHeight="1" x14ac:dyDescent="0.2">
      <c r="E243" s="87"/>
      <c r="F243" s="87"/>
      <c r="G243" s="87"/>
      <c r="H243" s="87"/>
      <c r="I243" s="87"/>
      <c r="J243" s="87"/>
    </row>
    <row r="244" spans="5:10" ht="14.25" customHeight="1" x14ac:dyDescent="0.2">
      <c r="E244" s="87"/>
      <c r="F244" s="87"/>
      <c r="G244" s="87"/>
      <c r="H244" s="87"/>
      <c r="I244" s="87"/>
      <c r="J244" s="87"/>
    </row>
    <row r="245" spans="5:10" ht="14.25" customHeight="1" x14ac:dyDescent="0.2">
      <c r="E245" s="87"/>
      <c r="F245" s="87"/>
      <c r="G245" s="87"/>
      <c r="H245" s="87"/>
      <c r="I245" s="87"/>
      <c r="J245" s="87"/>
    </row>
    <row r="246" spans="5:10" ht="14.25" customHeight="1" x14ac:dyDescent="0.2">
      <c r="E246" s="87"/>
      <c r="F246" s="87"/>
      <c r="G246" s="87"/>
      <c r="H246" s="87"/>
      <c r="I246" s="87"/>
      <c r="J246" s="87"/>
    </row>
    <row r="247" spans="5:10" ht="14.25" customHeight="1" x14ac:dyDescent="0.2">
      <c r="E247" s="87"/>
      <c r="F247" s="87"/>
      <c r="G247" s="87"/>
      <c r="H247" s="87"/>
      <c r="I247" s="87"/>
      <c r="J247" s="87"/>
    </row>
    <row r="248" spans="5:10" ht="14.25" customHeight="1" x14ac:dyDescent="0.2">
      <c r="E248" s="87"/>
      <c r="F248" s="87"/>
      <c r="G248" s="87"/>
      <c r="H248" s="87"/>
      <c r="I248" s="87"/>
      <c r="J248" s="87"/>
    </row>
    <row r="249" spans="5:10" ht="14.25" customHeight="1" x14ac:dyDescent="0.2">
      <c r="E249" s="87"/>
      <c r="F249" s="87"/>
      <c r="G249" s="87"/>
      <c r="H249" s="87"/>
      <c r="I249" s="87"/>
      <c r="J249" s="87"/>
    </row>
    <row r="250" spans="5:10" ht="14.25" customHeight="1" x14ac:dyDescent="0.2">
      <c r="E250" s="87"/>
      <c r="F250" s="87"/>
      <c r="G250" s="87"/>
      <c r="H250" s="87"/>
      <c r="I250" s="87"/>
      <c r="J250" s="87"/>
    </row>
    <row r="251" spans="5:10" ht="14.25" customHeight="1" x14ac:dyDescent="0.2">
      <c r="E251" s="87"/>
      <c r="F251" s="87"/>
      <c r="G251" s="87"/>
      <c r="H251" s="87"/>
      <c r="I251" s="87"/>
      <c r="J251" s="87"/>
    </row>
    <row r="252" spans="5:10" ht="14.25" customHeight="1" x14ac:dyDescent="0.2">
      <c r="E252" s="87"/>
      <c r="F252" s="87"/>
      <c r="G252" s="87"/>
      <c r="H252" s="87"/>
      <c r="I252" s="87"/>
      <c r="J252" s="87"/>
    </row>
    <row r="253" spans="5:10" ht="14.25" customHeight="1" x14ac:dyDescent="0.2">
      <c r="E253" s="87"/>
      <c r="F253" s="87"/>
      <c r="G253" s="87"/>
      <c r="H253" s="87"/>
      <c r="I253" s="87"/>
      <c r="J253" s="87"/>
    </row>
    <row r="254" spans="5:10" ht="14.25" customHeight="1" x14ac:dyDescent="0.2">
      <c r="E254" s="87"/>
      <c r="F254" s="87"/>
      <c r="G254" s="87"/>
      <c r="H254" s="87"/>
      <c r="I254" s="87"/>
      <c r="J254" s="87"/>
    </row>
    <row r="255" spans="5:10" ht="14.25" customHeight="1" x14ac:dyDescent="0.2">
      <c r="E255" s="87"/>
      <c r="F255" s="87"/>
      <c r="G255" s="87"/>
      <c r="H255" s="87"/>
      <c r="I255" s="87"/>
      <c r="J255" s="87"/>
    </row>
    <row r="256" spans="5:10" ht="14.25" customHeight="1" x14ac:dyDescent="0.2">
      <c r="E256" s="87"/>
      <c r="F256" s="87"/>
      <c r="G256" s="87"/>
      <c r="H256" s="87"/>
      <c r="I256" s="87"/>
      <c r="J256" s="87"/>
    </row>
    <row r="257" spans="5:10" ht="14.25" customHeight="1" x14ac:dyDescent="0.2">
      <c r="E257" s="87"/>
      <c r="F257" s="87"/>
      <c r="G257" s="87"/>
      <c r="H257" s="87"/>
      <c r="I257" s="87"/>
      <c r="J257" s="87"/>
    </row>
  </sheetData>
  <mergeCells count="12">
    <mergeCell ref="B1:F1"/>
    <mergeCell ref="G1:K1"/>
    <mergeCell ref="A1:A2"/>
    <mergeCell ref="E89:F89"/>
    <mergeCell ref="D87:H87"/>
    <mergeCell ref="C38:G38"/>
    <mergeCell ref="D95:G95"/>
    <mergeCell ref="C93:G93"/>
    <mergeCell ref="D96:G96"/>
    <mergeCell ref="D97:G97"/>
    <mergeCell ref="M118:O118"/>
    <mergeCell ref="C101:G101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Importante</vt:lpstr>
      <vt:lpstr>FOLHA DE PEDIDO </vt:lpstr>
      <vt:lpstr>Tabela 130 </vt:lpstr>
      <vt:lpstr>BASE CONTÁBIL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Christina. Schmitt</dc:creator>
  <cp:lastModifiedBy>J.Germano Representações</cp:lastModifiedBy>
  <cp:lastPrinted>2025-09-19T16:17:49Z</cp:lastPrinted>
  <dcterms:created xsi:type="dcterms:W3CDTF">2013-05-24T12:54:03Z</dcterms:created>
  <dcterms:modified xsi:type="dcterms:W3CDTF">2026-09-14T11:43:30Z</dcterms:modified>
</cp:coreProperties>
</file>